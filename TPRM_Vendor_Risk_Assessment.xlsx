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c03852c29e4d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3a94aeab08741dd"/>
    <x:sheet xmlns:r="http://schemas.openxmlformats.org/officeDocument/2006/relationships" name="Vendor Inventory" sheetId="2" r:id="R3e237ed07a594046"/>
    <x:sheet xmlns:r="http://schemas.openxmlformats.org/officeDocument/2006/relationships" name="Intake &amp; IRA" sheetId="3" r:id="Rba4aa5f12139403e"/>
    <x:sheet xmlns:r="http://schemas.openxmlformats.org/officeDocument/2006/relationships" name="Tiering Model" sheetId="4" r:id="R351f79652f964177"/>
    <x:sheet xmlns:r="http://schemas.openxmlformats.org/officeDocument/2006/relationships" name="Questionnaire" sheetId="5" r:id="R6213a636f8d24700"/>
    <x:sheet xmlns:r="http://schemas.openxmlformats.org/officeDocument/2006/relationships" name="Evidence Review" sheetId="6" r:id="R16b71974bea54969"/>
    <x:sheet xmlns:r="http://schemas.openxmlformats.org/officeDocument/2006/relationships" name="SOC2 Review" sheetId="7" r:id="Raf8ca5b6525e4229"/>
    <x:sheet xmlns:r="http://schemas.openxmlformats.org/officeDocument/2006/relationships" name="Risk Register" sheetId="8" r:id="R462f42abfe514856"/>
    <x:sheet xmlns:r="http://schemas.openxmlformats.org/officeDocument/2006/relationships" name="Remediation Tracker" sheetId="9" r:id="Rcc82697146dc4c35"/>
    <x:sheet xmlns:r="http://schemas.openxmlformats.org/officeDocument/2006/relationships" name="Continuous Monitoring" sheetId="10" r:id="R18547430a87143e5"/>
    <x:sheet xmlns:r="http://schemas.openxmlformats.org/officeDocument/2006/relationships" name="Dashboard" sheetId="11" r:id="R2d7b513557144970"/>
    <x:sheet xmlns:r="http://schemas.openxmlformats.org/officeDocument/2006/relationships" name="Sources &amp; Notes" sheetId="12" r:id="R6b84eb9aa88647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%"/>
    <x:numFmt numFmtId="202" formatCode="0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  <x:font>
      <x:sz val="11"/>
      <x:color rgb="FF1F1F1F"/>
      <x:name val="Carlito"/>
    </x:font>
    <x:font>
      <x:sz val="11"/>
      <x:color rgb="FF1F1F1F"/>
      <x:name val="Carlito"/>
    </x:font>
    <x:font>
      <x:b/>
      <x:sz val="11"/>
      <x:color rgb="FF7F6000"/>
      <x:name val="Carlito"/>
    </x:font>
    <x:font>
      <x:i/>
      <x:sz val="11"/>
      <x:color rgb="FF1F1F1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0F243E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F3F6F9"/>
      </x:patternFill>
    </x:fill>
    <x:fill>
      <x:patternFill patternType="solid">
        <x:fgColor rgb="FF0F243E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</x:fills>
  <x:borders count="2">
    <x:border/>
    <x:border/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horizontal="center" wrapText="1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0" fillId="11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</x:cellXfs>
  <x:cellStyles count="1">
    <x:cellStyle name="Normal" xfId="0"/>
  </x:cellStyles>
  <x:dxfs count="15">
    <x:dxf>
      <x:fill>
        <x:patternFill>
          <x:bgColor rgb="FFF4CC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ad3ae789624a46" /><Relationship Type="http://schemas.openxmlformats.org/officeDocument/2006/relationships/theme" Target="/xl/theme/theme1.xml" Id="Rda9323fdbe774127" /><Relationship Type="http://schemas.openxmlformats.org/officeDocument/2006/relationships/sharedStrings" Target="/xl/sharedStrings.xml" Id="R84caef7861e4431a" /><Relationship Type="http://schemas.openxmlformats.org/officeDocument/2006/relationships/worksheet" Target="/xl/worksheets/sheet1.xml" Id="R03a94aeab08741dd" /><Relationship Type="http://schemas.openxmlformats.org/officeDocument/2006/relationships/worksheet" Target="/xl/worksheets/sheet2.xml" Id="R3e237ed07a594046" /><Relationship Type="http://schemas.openxmlformats.org/officeDocument/2006/relationships/worksheet" Target="/xl/worksheets/sheet3.xml" Id="Rba4aa5f12139403e" /><Relationship Type="http://schemas.openxmlformats.org/officeDocument/2006/relationships/worksheet" Target="/xl/worksheets/sheet4.xml" Id="R351f79652f964177" /><Relationship Type="http://schemas.openxmlformats.org/officeDocument/2006/relationships/worksheet" Target="/xl/worksheets/sheet5.xml" Id="R6213a636f8d24700" /><Relationship Type="http://schemas.openxmlformats.org/officeDocument/2006/relationships/worksheet" Target="/xl/worksheets/sheet6.xml" Id="R16b71974bea54969" /><Relationship Type="http://schemas.openxmlformats.org/officeDocument/2006/relationships/worksheet" Target="/xl/worksheets/sheet7.xml" Id="Raf8ca5b6525e4229" /><Relationship Type="http://schemas.openxmlformats.org/officeDocument/2006/relationships/worksheet" Target="/xl/worksheets/sheet8.xml" Id="R462f42abfe514856" /><Relationship Type="http://schemas.openxmlformats.org/officeDocument/2006/relationships/worksheet" Target="/xl/worksheets/sheet9.xml" Id="Rcc82697146dc4c35" /><Relationship Type="http://schemas.openxmlformats.org/officeDocument/2006/relationships/worksheet" Target="/xl/worksheets/sheet10.xml" Id="R18547430a87143e5" /><Relationship Type="http://schemas.openxmlformats.org/officeDocument/2006/relationships/worksheet" Target="/xl/worksheets/sheet11.xml" Id="R2d7b513557144970" /><Relationship Type="http://schemas.openxmlformats.org/officeDocument/2006/relationships/worksheet" Target="/xl/worksheets/sheet12.xml" Id="R6b84eb9aa886476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fe63af864ab48cb" /><Relationship Type="http://schemas.openxmlformats.org/officeDocument/2006/relationships/chart" Target="/xl/drawings/charts/chart2.xml" Id="Rd8a554e9b1db4aa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Vendors by Inherent Risk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'Dashboard'!$D$5:$D$8</c:f>
              <c:strCache>
                <c:ptCount val="0"/>
              </c:strCache>
            </c:strRef>
          </c:cat>
          <c:val>
            <c:numRef>
              <c:f>'Dashboard'!$E$5:$E$8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Active Findings by Residual Risk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Open / Active</c:v>
          </c:tx>
          <c:cat>
            <c:strRef>
              <c:f>'Dashboard'!$D$12:$D$15</c:f>
              <c:strCache>
                <c:ptCount val="0"/>
              </c:strCache>
            </c:strRef>
          </c:cat>
          <c:val>
            <c:numRef>
              <c:f>'Dashboard'!$E$12:$E$15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13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fe63af864ab48cb"/>
        </a:graphicData>
      </a:graphic>
    </xdr:graphicFrame>
    <xdr:clientData/>
  </xdr:twoCellAnchor>
  <xdr:twoCellAnchor>
    <xdr:from>
      <xdr:col>6</xdr:col>
      <xdr:colOff>0</xdr:colOff>
      <xdr:row>15</xdr:row>
      <xdr:rowOff>0</xdr:rowOff>
    </xdr:from>
    <xdr:to>
      <xdr:col>13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8a554e9b1db4aa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0eeb98e176a542a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38" hidden="0" customWidth="1"/>
    <x:col min="4" max="4" width="36" hidden="0" customWidth="1"/>
    <x:col min="5" max="5" width="40" hidden="0" customWidth="1"/>
    <x:col min="6" max="6" width="36" hidden="0" customWidth="1"/>
    <x:col min="7" max="7" width="38" hidden="0" customWidth="1"/>
    <x:col min="8" max="8" width="14" hidden="0" customWidth="1"/>
  </x:cols>
  <x:sheetData>
    <x:row r="1">
      <x:c r="A1" s="50" t="str">
        <x:v>TPRM Vendor Risk Assessment Portfolio</x:v>
      </x:c>
      <x:c r="B1" s="50"/>
      <x:c r="C1" s="50"/>
      <x:c r="D1" s="50"/>
      <x:c r="E1" s="50"/>
      <x:c r="F1" s="50"/>
      <x:c r="G1" s="50"/>
      <x:c r="H1" s="50"/>
    </x:row>
    <x:row r="2">
      <x:c r="A2" s="50"/>
      <x:c r="B2" s="50"/>
      <x:c r="C2" s="50"/>
      <x:c r="D2" s="50"/>
      <x:c r="E2" s="50"/>
      <x:c r="F2" s="50"/>
      <x:c r="G2" s="50"/>
      <x:c r="H2" s="50"/>
    </x:row>
    <x:row r="3" ht="36" customHeight="1">
      <x:c r="A3" s="54" t="str">
        <x:v>PUBLIC PORTFOLIO VERSION — All companies, vendors, responses, evidence, findings, dates, and risk decisions in this workbook are fictional and created for demonstration purposes.</x:v>
      </x:c>
      <x:c r="B3" s="54"/>
      <x:c r="C3" s="54"/>
      <x:c r="D3" s="54"/>
      <x:c r="E3" s="54"/>
      <x:c r="F3" s="54"/>
      <x:c r="G3" s="54"/>
      <x:c r="H3" s="54"/>
    </x:row>
    <x:row r="4">
      <x:c r="A4" s="55" t="str">
        <x:v>Purpose</x:v>
      </x:c>
      <x:c r="B4" s="55" t="str">
        <x:v>Scenario</x:v>
      </x:c>
      <x:c r="C4" s="55" t="str">
        <x:v>What this demonstrates</x:v>
      </x:c>
      <x:c r="D4" s="55" t="str">
        <x:v>How to use it</x:v>
      </x:c>
      <x:c r="E4" s="55" t="str">
        <x:v>Portfolio scope</x:v>
      </x:c>
      <x:c r="F4" s="55" t="str">
        <x:v>Framework exposure</x:v>
      </x:c>
      <x:c r="G4" s="55" t="str">
        <x:v>Licensing / data note</x:v>
      </x:c>
      <x:c r="H4" s="55" t="str">
        <x:v>Version</x:v>
      </x:c>
    </x:row>
    <x:row r="5">
      <x:c r="A5" s="18" t="str">
        <x:v>Demonstrate a hands-on, end-to-end third-party risk management workflow using fictional SaaS vendors.</x:v>
      </x:c>
      <x:c r="B5" s="18" t="str">
        <x:v>Act as the TPRM analyst for a fictional financial-services company evaluating three SaaS vendors with different inherent-risk profiles.</x:v>
      </x:c>
      <x:c r="C5" s="18" t="str">
        <x:v>Vendor intake, inherent risk, tiering, questionnaire review, evidence validation, SOC 2 review, findings, residual risk, remediation, approval, and continuous monitoring.</x:v>
      </x:c>
      <x:c r="D5" s="18" t="str">
        <x:v>Review the workbook in sequence. Inputs and analyst judgments can be changed to see how risk ratings and dashboard metrics respond.</x:v>
      </x:c>
      <x:c r="E5" s="18" t="str">
        <x:v>Independent portfolio project designed to show practical TPRM analysis and documentation, not production client work.</x:v>
      </x:c>
      <x:c r="F5" s="18" t="str">
        <x:v>CAIQ-aligned cloud-security domains; SIG-style risk domains; SOC 2; ISO 27001; privacy; BCP/DR; fourth-party risk.</x:v>
      </x:c>
      <x:c r="G5" s="18" t="str">
        <x:v>No real vendor or client information is included. The questionnaire is original and does not reproduce licensed SIG content.</x:v>
      </x:c>
      <x:c r="H5" s="18" t="str">
        <x:v>v1.0-public</x:v>
      </x:c>
    </x:row>
    <x:row r="8">
      <x:c r="A8" s="12" t="str">
        <x:v>Workflow</x:v>
      </x:c>
      <x:c r="B8" s="12" t="str">
        <x:v>Action</x:v>
      </x:c>
    </x:row>
    <x:row r="9">
      <x:c r="A9" s="18" t="str">
        <x:v>1</x:v>
      </x:c>
      <x:c r="B9" s="18" t="str">
        <x:v>Review Vendor Inventory and understand the three vendor scenarios.</x:v>
      </x:c>
    </x:row>
    <x:row r="10">
      <x:c r="A10" s="18" t="str">
        <x:v>2</x:v>
      </x:c>
      <x:c r="B10" s="18" t="str">
        <x:v>Complete or modify Intake &amp; IRA to determine inherent risk and vendor tier.</x:v>
      </x:c>
    </x:row>
    <x:row r="11">
      <x:c r="A11" s="18" t="str">
        <x:v>3</x:v>
      </x:c>
      <x:c r="B11" s="18" t="str">
        <x:v>Review Questionnaire responses and challenge weak or unsupported answers.</x:v>
      </x:c>
    </x:row>
    <x:row r="12">
      <x:c r="A12" s="18" t="str">
        <x:v>4</x:v>
      </x:c>
      <x:c r="B12" s="18" t="str">
        <x:v>Validate artifacts in Evidence Review rather than relying on Yes/No responses.</x:v>
      </x:c>
    </x:row>
    <x:row r="13">
      <x:c r="A13" s="18" t="str">
        <x:v>5</x:v>
      </x:c>
      <x:c r="B13" s="18" t="str">
        <x:v>Use SOC2 Review to document report period, scope, exceptions, CUECs, and gaps.</x:v>
      </x:c>
    </x:row>
    <x:row r="14">
      <x:c r="A14" s="18" t="str">
        <x:v>6</x:v>
      </x:c>
      <x:c r="B14" s="18" t="str">
        <x:v>Convert gaps into risks in Risk Register and calculate residual risk.</x:v>
      </x:c>
    </x:row>
    <x:row r="15">
      <x:c r="A15" s="18" t="str">
        <x:v>7</x:v>
      </x:c>
      <x:c r="B15" s="18" t="str">
        <x:v>Track remediation commitments and risk acceptances in Remediation Tracker.</x:v>
      </x:c>
    </x:row>
    <x:row r="16">
      <x:c r="A16" s="18" t="str">
        <x:v>8</x:v>
      </x:c>
      <x:c r="B16" s="18" t="str">
        <x:v>Use Continuous Monitoring to simulate post-onboarding changes.</x:v>
      </x:c>
    </x:row>
    <x:row r="17">
      <x:c r="A17" s="18" t="str">
        <x:v>9</x:v>
      </x:c>
      <x:c r="B17" s="18" t="str">
        <x:v>Review Dashboard for executive-level metrics.</x:v>
      </x:c>
    </x:row>
    <x:row r="18">
      <x:c r="A18" s="18" t="str">
        <x:v>10</x:v>
      </x:c>
      <x:c r="B18" s="18" t="str">
        <x:v>Prepare a 2-minute recommendation: Approve, Approve with Conditions, or Reject.</x:v>
      </x:c>
    </x:row>
    <x:row r="20">
      <x:c r="A20" s="55" t="str">
        <x:v>Analyst capability demonstrated</x:v>
      </x:c>
      <x:c r="B20" s="55" t="str">
        <x:v>What the workbook shows</x:v>
      </x:c>
    </x:row>
    <x:row r="21">
      <x:c r="A21" s="18" t="str">
        <x:v>Risk-based vendor tiering</x:v>
      </x:c>
      <x:c r="B21" s="18" t="str">
        <x:v>Data sensitivity, access, criticality, regulatory exposure, hosting, fourth parties, and business dependency.</x:v>
      </x:c>
    </x:row>
    <x:row r="22">
      <x:c r="A22" s="18" t="str">
        <x:v>Questionnaire validation</x:v>
      </x:c>
      <x:c r="B22" s="18" t="str">
        <x:v>Evidence requests, scope/date checks, comparison of stated controls to supporting artifacts, challenge of partial or unsupported responses.</x:v>
      </x:c>
    </x:row>
    <x:row r="23">
      <x:c r="A23" s="18" t="str">
        <x:v>SOC 2 review</x:v>
      </x:c>
      <x:c r="B23" s="18" t="str">
        <x:v>Opinion, period, scope, exceptions, subservice organizations, CUECs, complementary controls, and bridge-letter considerations.</x:v>
      </x:c>
    </x:row>
    <x:row r="24">
      <x:c r="A24" s="18" t="str">
        <x:v>Risk treatment</x:v>
      </x:c>
      <x:c r="B24" s="18" t="str">
        <x:v>Compensating controls, residual risk, remediation, documented exceptions, risk acceptance, approvers, and expiry/target dates.</x:v>
      </x:c>
    </x:row>
    <x:row r="25">
      <x:c r="A25" s="18" t="str">
        <x:v>Ongoing monitoring</x:v>
      </x:c>
      <x:c r="B25" s="18" t="str">
        <x:v>Reassessment cadence, incidents, rating changes, material service changes, new subprocessors, and assurance refresh.</x:v>
      </x:c>
    </x:row>
    <x:row r="26">
      <x:c r="A26" s="18" t="str">
        <x:v>TPRM reporting</x:v>
      </x:c>
      <x:c r="B26" s="18" t="str">
        <x:v>Assessment coverage, critical vendors, active high risks, overdue remediation, conditional approvals, and monitoring events.</x:v>
      </x:c>
    </x:row>
    <x:row r="27">
      <x:c r="A27" s="18" t="str">
        <x:v>Fourth-party risk</x:v>
      </x:c>
      <x:c r="B27" s="18" t="str">
        <x:v>Material subcontractors/subprocessors supporting a direct vendor and the controls used to manage those dependencies.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4" hidden="0" customWidth="1"/>
    <x:col min="4" max="4" width="32" hidden="0" customWidth="1"/>
    <x:col min="5" max="5" width="20" hidden="0" customWidth="1"/>
    <x:col min="6" max="6" width="18" hidden="0" customWidth="1"/>
    <x:col min="7" max="7" width="18" hidden="0" customWidth="1"/>
    <x:col min="8" max="8" width="18" hidden="0" customWidth="1"/>
    <x:col min="9" max="9" width="14" hidden="0" customWidth="1"/>
    <x:col min="10" max="10" width="20" hidden="0" customWidth="1"/>
    <x:col min="11" max="11" width="16" hidden="0" customWidth="1"/>
    <x:col min="12" max="12" width="12" hidden="0" customWidth="1"/>
    <x:col min="13" max="13" width="20" hidden="0" customWidth="1"/>
    <x:col min="14" max="14" width="24" hidden="0" customWidth="1"/>
    <x:col min="15" max="15" width="14" hidden="0" customWidth="1"/>
    <x:col min="18" max="18" width="22" hidden="0" customWidth="1"/>
  </x:cols>
  <x:sheetData>
    <x:row r="1">
      <x:c r="A1" s="12" t="str">
        <x:v>Vendor ID</x:v>
      </x:c>
      <x:c r="B1" s="12" t="str">
        <x:v>Vendor Name</x:v>
      </x:c>
      <x:c r="C1" s="12" t="str">
        <x:v>Service</x:v>
      </x:c>
      <x:c r="D1" s="12" t="str">
        <x:v>Data Types</x:v>
      </x:c>
      <x:c r="E1" s="12" t="str">
        <x:v>Prod Access</x:v>
      </x:c>
      <x:c r="F1" s="12" t="str">
        <x:v>Hosting</x:v>
      </x:c>
      <x:c r="G1" s="12" t="str">
        <x:v>Business Criticality</x:v>
      </x:c>
      <x:c r="H1" s="12" t="str">
        <x:v>Regulatory Impact</x:v>
      </x:c>
      <x:c r="I1" s="12" t="str">
        <x:v>Subprocessors</x:v>
      </x:c>
      <x:c r="J1" s="12" t="str">
        <x:v>Owner</x:v>
      </x:c>
      <x:c r="K1" s="12" t="str">
        <x:v>Inherent Risk</x:v>
      </x:c>
      <x:c r="L1" s="12" t="str">
        <x:v>Tier</x:v>
      </x:c>
      <x:c r="M1" s="12" t="str">
        <x:v>Assessment Cadence</x:v>
      </x:c>
      <x:c r="N1" s="12" t="str">
        <x:v>Decision</x:v>
      </x:c>
      <x:c r="O1" s="12" t="str">
        <x:v>Next Review</x:v>
      </x:c>
      <x:c r="R1" s="54" t="str">
        <x:v>FICTIONAL SAMPLE DATA</x:v>
      </x:c>
    </x:row>
    <x:row r="2">
      <x:c r="A2" s="18" t="str">
        <x:v>V-001</x:v>
      </x:c>
      <x:c r="B2" s="18" t="str">
        <x:v>PeopleSphere</x:v>
      </x:c>
      <x:c r="C2" s="18" t="str">
        <x:v>HR / payroll SaaS</x:v>
      </x:c>
      <x:c r="D2" s="18" t="str">
        <x:v>Employee PII; payroll data</x:v>
      </x:c>
      <x:c r="E2" s="18" t="str">
        <x:v>No</x:v>
      </x:c>
      <x:c r="F2" s="18" t="str">
        <x:v>Vendor cloud</x:v>
      </x:c>
      <x:c r="G2" s="18" t="str">
        <x:v>High</x:v>
      </x:c>
      <x:c r="H2" s="18" t="str">
        <x:v>High</x:v>
      </x:c>
      <x:c r="I2" s="18" t="str">
        <x:v>Yes</x:v>
      </x:c>
      <x:c r="J2" s="18" t="str">
        <x:v>HR</x:v>
      </x:c>
      <x:c r="K2" s="18" t="str">
        <x:f>'Intake &amp; IRA'!N2</x:f>
        <x:v>High</x:v>
      </x:c>
      <x:c r="L2" s="18" t="str">
        <x:f>'Intake &amp; IRA'!O2</x:f>
        <x:v>Tier 2</x:v>
      </x:c>
      <x:c r="M2" s="18" t="str">
        <x:f>'Intake &amp; IRA'!P2</x:f>
        <x:v>12 months</x:v>
      </x:c>
      <x:c r="N2" s="18" t="str">
        <x:v>Approve with Conditions</x:v>
      </x:c>
      <x:c r="O2" s="22" t="n">
        <x:v>46461</x:v>
      </x:c>
    </x:row>
    <x:row r="3">
      <x:c r="A3" s="18" t="str">
        <x:v>V-002</x:v>
      </x:c>
      <x:c r="B3" s="18" t="str">
        <x:v>MetricFlow</x:v>
      </x:c>
      <x:c r="C3" s="18" t="str">
        <x:v>Cloud analytics + API integration</x:v>
      </x:c>
      <x:c r="D3" s="18" t="str">
        <x:v>Customer PII; confidential analytics</x:v>
      </x:c>
      <x:c r="E3" s="18" t="str">
        <x:v>Yes - API/service account</x:v>
      </x:c>
      <x:c r="F3" s="18" t="str">
        <x:v>Vendor cloud</x:v>
      </x:c>
      <x:c r="G3" s="18" t="str">
        <x:v>Critical</x:v>
      </x:c>
      <x:c r="H3" s="18" t="str">
        <x:v>High</x:v>
      </x:c>
      <x:c r="I3" s="18" t="str">
        <x:v>Yes</x:v>
      </x:c>
      <x:c r="J3" s="18" t="str">
        <x:v>Data Engineering</x:v>
      </x:c>
      <x:c r="K3" s="18" t="str">
        <x:f>'Intake &amp; IRA'!N3</x:f>
        <x:v>Critical</x:v>
      </x:c>
      <x:c r="L3" s="18" t="str">
        <x:f>'Intake &amp; IRA'!O3</x:f>
        <x:v>Tier 1</x:v>
      </x:c>
      <x:c r="M3" s="18" t="str">
        <x:f>'Intake &amp; IRA'!P3</x:f>
        <x:v>6 months</x:v>
      </x:c>
      <x:c r="N3" s="18" t="str">
        <x:v>Approve with Conditions</x:v>
      </x:c>
      <x:c r="O3" s="22" t="n">
        <x:v>46402</x:v>
      </x:c>
    </x:row>
    <x:row r="4">
      <x:c r="A4" s="18" t="str">
        <x:v>V-003</x:v>
      </x:c>
      <x:c r="B4" s="18" t="str">
        <x:v>CampaignPilot</x:v>
      </x:c>
      <x:c r="C4" s="18" t="str">
        <x:v>Marketing automation</x:v>
      </x:c>
      <x:c r="D4" s="18" t="str">
        <x:v>Business contact data</x:v>
      </x:c>
      <x:c r="E4" s="18" t="str">
        <x:v>No</x:v>
      </x:c>
      <x:c r="F4" s="18" t="str">
        <x:v>Vendor cloud</x:v>
      </x:c>
      <x:c r="G4" s="18" t="str">
        <x:v>Medium</x:v>
      </x:c>
      <x:c r="H4" s="18" t="str">
        <x:v>Low</x:v>
      </x:c>
      <x:c r="I4" s="18" t="str">
        <x:v>Yes</x:v>
      </x:c>
      <x:c r="J4" s="18" t="str">
        <x:v>Marketing</x:v>
      </x:c>
      <x:c r="K4" s="18" t="str">
        <x:f>'Intake &amp; IRA'!N4</x:f>
        <x:v>Medium</x:v>
      </x:c>
      <x:c r="L4" s="18" t="str">
        <x:f>'Intake &amp; IRA'!O4</x:f>
        <x:v>Tier 3</x:v>
      </x:c>
      <x:c r="M4" s="18" t="str">
        <x:f>'Intake &amp; IRA'!P4</x:f>
        <x:v>24 months</x:v>
      </x:c>
      <x:c r="N4" s="18" t="str">
        <x:v>Approve</x:v>
      </x:c>
      <x:c r="O4" s="22" t="n">
        <x:v>47011</x:v>
      </x:c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</x:row>
  </x:sheetData>
  <x:dataValidations count="1">
    <x:dataValidation type="list" sqref="N2:N100">
      <x:formula1>"Approve,Approve with Conditions,Reject,Pending"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4" hidden="0" customWidth="1"/>
    <x:col min="4" max="4" width="14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  <x:col min="9" max="9" width="12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15" hidden="0" customWidth="1"/>
    <x:col min="15" max="15" width="12" hidden="0" customWidth="1"/>
    <x:col min="16" max="16" width="18" hidden="0" customWidth="1"/>
    <x:col min="18" max="18" width="22" hidden="0" customWidth="1"/>
  </x:cols>
  <x:sheetData>
    <x:row r="1">
      <x:c r="A1" s="12" t="str">
        <x:v>Vendor ID</x:v>
      </x:c>
      <x:c r="B1" s="12" t="str">
        <x:v>Vendor Name</x:v>
      </x:c>
      <x:c r="C1" s="12" t="str">
        <x:v>Data Sensitivity
(1-4)</x:v>
      </x:c>
      <x:c r="D1" s="12" t="str">
        <x:v>System Access
(0-4)</x:v>
      </x:c>
      <x:c r="E1" s="12" t="str">
        <x:v>Business Criticality
(1-4)</x:v>
      </x:c>
      <x:c r="F1" s="12" t="str">
        <x:v>Regulatory Exposure
(0-3)</x:v>
      </x:c>
      <x:c r="G1" s="12" t="str">
        <x:v>Subprocessors
(0-2)</x:v>
      </x:c>
      <x:c r="H1" s="12" t="str">
        <x:v>External Hosting
(0-2)</x:v>
      </x:c>
      <x:c r="I1" s="12" t="str">
        <x:v>Total Score</x:v>
      </x:c>
      <x:c r="J1" s="12" t="str">
        <x:v>Data rationale</x:v>
      </x:c>
      <x:c r="K1" s="12" t="str">
        <x:v>Access rationale</x:v>
      </x:c>
      <x:c r="L1" s="12" t="str">
        <x:v>Criticality rationale</x:v>
      </x:c>
      <x:c r="M1" s="12" t="str">
        <x:v>Regulatory rationale</x:v>
      </x:c>
      <x:c r="N1" s="12" t="str">
        <x:v>Inherent Risk</x:v>
      </x:c>
      <x:c r="O1" s="12" t="str">
        <x:v>Tier</x:v>
      </x:c>
      <x:c r="P1" s="12" t="str">
        <x:v>Assessment Cadence</x:v>
      </x:c>
      <x:c r="R1" s="54" t="str">
        <x:v>FICTIONAL SAMPLE DATA</x:v>
      </x:c>
    </x:row>
    <x:row r="2">
      <x:c r="A2" s="18" t="str">
        <x:v>V-001</x:v>
      </x:c>
      <x:c r="B2" s="18" t="str">
        <x:v>PeopleSphere</x:v>
      </x:c>
      <x:c r="C2" s="18" t="n">
        <x:v>4</x:v>
      </x:c>
      <x:c r="D2" s="18" t="n">
        <x:v>1</x:v>
      </x:c>
      <x:c r="E2" s="18" t="n">
        <x:v>3</x:v>
      </x:c>
      <x:c r="F2" s="18" t="n">
        <x:v>2</x:v>
      </x:c>
      <x:c r="G2" s="18" t="n">
        <x:v>1</x:v>
      </x:c>
      <x:c r="H2" s="18" t="n">
        <x:v>2</x:v>
      </x:c>
      <x:c r="I2" s="18" t="n">
        <x:f>SUM(C2:H2)</x:f>
        <x:v>13</x:v>
      </x:c>
      <x:c r="J2" s="18" t="str">
        <x:v>Employee PII + payroll</x:v>
      </x:c>
      <x:c r="K2" s="18" t="str">
        <x:v>SSO/API only; no privileged production admin</x:v>
      </x:c>
      <x:c r="L2" s="18" t="str">
        <x:v>Payroll is business-critical</x:v>
      </x:c>
      <x:c r="M2" s="18" t="str">
        <x:v>Privacy + employment data</x:v>
      </x:c>
      <x:c r="N2" s="18" t="str">
        <x:f>IF(I2&gt;=15,"Critical",IF(I2&gt;=11,"High",IF(I2&gt;=7,"Medium","Low")))</x:f>
        <x:v>High</x:v>
      </x:c>
      <x:c r="O2" s="18" t="str">
        <x:f>IF(N2="Critical","Tier 1",IF(N2="High","Tier 2",IF(N2="Medium","Tier 3","Tier 4")))</x:f>
        <x:v>Tier 2</x:v>
      </x:c>
      <x:c r="P2" s="18" t="str">
        <x:f>IF(N2="Critical","6 months",IF(N2="High","12 months",IF(N2="Medium","24 months","36 months")))</x:f>
        <x:v>12 months</x:v>
      </x:c>
    </x:row>
    <x:row r="3">
      <x:c r="A3" s="18" t="str">
        <x:v>V-002</x:v>
      </x:c>
      <x:c r="B3" s="18" t="str">
        <x:v>MetricFlow</x:v>
      </x:c>
      <x:c r="C3" s="18" t="n">
        <x:v>4</x:v>
      </x:c>
      <x:c r="D3" s="18" t="n">
        <x:v>4</x:v>
      </x:c>
      <x:c r="E3" s="18" t="n">
        <x:v>4</x:v>
      </x:c>
      <x:c r="F3" s="18" t="n">
        <x:v>3</x:v>
      </x:c>
      <x:c r="G3" s="18" t="n">
        <x:v>2</x:v>
      </x:c>
      <x:c r="H3" s="18" t="n">
        <x:v>2</x:v>
      </x:c>
      <x:c r="I3" s="18" t="n">
        <x:f>SUM(C3:H3)</x:f>
        <x:v>19</x:v>
      </x:c>
      <x:c r="J3" s="18" t="str">
        <x:v>Customer PII and confidential analytics</x:v>
      </x:c>
      <x:c r="K3" s="18" t="str">
        <x:v>Production API + service account</x:v>
      </x:c>
      <x:c r="L3" s="18" t="str">
        <x:v>Critical reporting/data workflows</x:v>
      </x:c>
      <x:c r="M3" s="18" t="str">
        <x:v>Customer/privacy obligations</x:v>
      </x:c>
      <x:c r="N3" s="18" t="str">
        <x:f>IF(I3&gt;=15,"Critical",IF(I3&gt;=11,"High",IF(I3&gt;=7,"Medium","Low")))</x:f>
        <x:v>Critical</x:v>
      </x:c>
      <x:c r="O3" s="18" t="str">
        <x:f>IF(N3="Critical","Tier 1",IF(N3="High","Tier 2",IF(N3="Medium","Tier 3","Tier 4")))</x:f>
        <x:v>Tier 1</x:v>
      </x:c>
      <x:c r="P3" s="18" t="str">
        <x:f>IF(N3="Critical","6 months",IF(N3="High","12 months",IF(N3="Medium","24 months","36 months")))</x:f>
        <x:v>6 months</x:v>
      </x:c>
    </x:row>
    <x:row r="4">
      <x:c r="A4" s="18" t="str">
        <x:v>V-003</x:v>
      </x:c>
      <x:c r="B4" s="18" t="str">
        <x:v>CampaignPilot</x:v>
      </x:c>
      <x:c r="C4" s="18" t="n">
        <x:v>2</x:v>
      </x:c>
      <x:c r="D4" s="18" t="n">
        <x:v>1</x:v>
      </x:c>
      <x:c r="E4" s="18" t="n">
        <x:v>2</x:v>
      </x:c>
      <x:c r="F4" s="18" t="n">
        <x:v>1</x:v>
      </x:c>
      <x:c r="G4" s="18" t="n">
        <x:v>1</x:v>
      </x:c>
      <x:c r="H4" s="18" t="n">
        <x:v>2</x:v>
      </x:c>
      <x:c r="I4" s="18" t="n">
        <x:f>SUM(C4:H4)</x:f>
        <x:v>9</x:v>
      </x:c>
      <x:c r="J4" s="18" t="str">
        <x:v>Business contacts only</x:v>
      </x:c>
      <x:c r="K4" s="18" t="str">
        <x:v>Limited integration</x:v>
      </x:c>
      <x:c r="L4" s="18" t="str">
        <x:v>Marketing can tolerate outage</x:v>
      </x:c>
      <x:c r="M4" s="18" t="str">
        <x:v>Low direct regulatory exposure</x:v>
      </x:c>
      <x:c r="N4" s="18" t="str">
        <x:f>IF(I4&gt;=15,"Critical",IF(I4&gt;=11,"High",IF(I4&gt;=7,"Medium","Low")))</x:f>
        <x:v>Medium</x:v>
      </x:c>
      <x:c r="O4" s="18" t="str">
        <x:f>IF(N4="Critical","Tier 1",IF(N4="High","Tier 2",IF(N4="Medium","Tier 3","Tier 4")))</x:f>
        <x:v>Tier 3</x:v>
      </x:c>
      <x:c r="P4" s="18" t="str">
        <x:f>IF(N4="Critical","6 months",IF(N4="High","12 months",IF(N4="Medium","24 months","36 months")))</x:f>
        <x:v>24 months</x:v>
      </x:c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</x:row>
  </x:sheetData>
  <x:conditionalFormatting sqref="N2:N100">
    <x:cfRule type="expression" dxfId="0" priority="1">
      <x:formula>$N2="Critical"</x:formula>
    </x:cfRule>
    <x:cfRule type="expression" dxfId="1" priority="2">
      <x:formula>$N2="High"</x:formula>
    </x:cfRule>
    <x:cfRule type="expression" dxfId="2" priority="3">
      <x:formula>$N2="Medium"</x:formula>
    </x:cfRule>
    <x:cfRule type="expression" dxfId="3" priority="4">
      <x:formula>$N2="Low"</x:formula>
    </x:cfRule>
  </x:conditionalFormatting>
  <x:dataValidations count="6">
    <x:dataValidation operator="between" sqref="C2:C100">
      <x:formula1>0</x:formula1>
      <x:formula2>4</x:formula2>
    </x:dataValidation>
    <x:dataValidation operator="between" sqref="D2:D100">
      <x:formula1>0</x:formula1>
      <x:formula2>4</x:formula2>
    </x:dataValidation>
    <x:dataValidation operator="between" sqref="E2:E100">
      <x:formula1>0</x:formula1>
      <x:formula2>4</x:formula2>
    </x:dataValidation>
    <x:dataValidation operator="between" sqref="F2:F100">
      <x:formula1>0</x:formula1>
      <x:formula2>4</x:formula2>
    </x:dataValidation>
    <x:dataValidation operator="between" sqref="G2:G100">
      <x:formula1>0</x:formula1>
      <x:formula2>4</x:formula2>
    </x:dataValidation>
    <x:dataValidation operator="between" sqref="H2:H100">
      <x:formula1>0</x:formula1>
      <x:formula2>4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8" hidden="0" customWidth="1"/>
    <x:col min="4" max="4" width="28" hidden="0" customWidth="1"/>
    <x:col min="5" max="5" width="32" hidden="0" customWidth="1"/>
    <x:col min="6" max="6" width="42" hidden="0" customWidth="1"/>
    <x:col min="18" max="18" width="22" hidden="0" customWidth="1"/>
  </x:cols>
  <x:sheetData>
    <x:row r="1">
      <x:c r="A1" s="12" t="str">
        <x:v>Risk Dimension</x:v>
      </x:c>
      <x:c r="B1" s="12" t="str">
        <x:v>Score 0/1</x:v>
      </x:c>
      <x:c r="C1" s="12" t="str">
        <x:v>Score 2</x:v>
      </x:c>
      <x:c r="D1" s="12" t="str">
        <x:v>Score 3</x:v>
      </x:c>
      <x:c r="E1" s="12" t="str">
        <x:v>Score 4</x:v>
      </x:c>
      <x:c r="F1" s="12" t="str">
        <x:v>Analyst Notes</x:v>
      </x:c>
      <x:c r="R1" s="54" t="str">
        <x:v>FICTIONAL SAMPLE DATA</x:v>
      </x:c>
    </x:row>
    <x:row r="2">
      <x:c r="A2" s="18" t="str">
        <x:v>Data Sensitivity</x:v>
      </x:c>
      <x:c r="B2" s="18" t="str">
        <x:v>No company data / public</x:v>
      </x:c>
      <x:c r="C2" s="18" t="str">
        <x:v>Internal or business contacts</x:v>
      </x:c>
      <x:c r="D2" s="18" t="str">
        <x:v>Confidential business data</x:v>
      </x:c>
      <x:c r="E2" s="18" t="str">
        <x:v>PII/financial/authentication data</x:v>
      </x:c>
      <x:c r="F2" s="18" t="str">
        <x:v>Use the highest applicable classification.</x:v>
      </x:c>
    </x:row>
    <x:row r="3">
      <x:c r="A3" s="18" t="str">
        <x:v>System Access</x:v>
      </x:c>
      <x:c r="B3" s="18" t="str">
        <x:v>No or minimal access</x:v>
      </x:c>
      <x:c r="C3" s="18" t="str">
        <x:v>Limited SSO/API</x:v>
      </x:c>
      <x:c r="D3" s="18" t="str">
        <x:v>Broad user / non-prod access</x:v>
      </x:c>
      <x:c r="E3" s="18" t="str">
        <x:v>Privileged production or service-account access</x:v>
      </x:c>
      <x:c r="F3" s="18" t="str">
        <x:v>Consider network connectivity and token scope.</x:v>
      </x:c>
    </x:row>
    <x:row r="4">
      <x:c r="A4" s="18" t="str">
        <x:v>Business Criticality</x:v>
      </x:c>
      <x:c r="B4" s="18" t="str">
        <x:v>Low / easily replaceable</x:v>
      </x:c>
      <x:c r="C4" s="18" t="str">
        <x:v>Moderate impact</x:v>
      </x:c>
      <x:c r="D4" s="18" t="str">
        <x:v>High impact</x:v>
      </x:c>
      <x:c r="E4" s="18" t="str">
        <x:v>Critical process / material outage impact</x:v>
      </x:c>
      <x:c r="F4" s="18" t="str">
        <x:v>Assess recoverability and workarounds.</x:v>
      </x:c>
    </x:row>
    <x:row r="5">
      <x:c r="A5" s="18" t="str">
        <x:v>Regulatory Exposure</x:v>
      </x:c>
      <x:c r="B5" s="18" t="str">
        <x:v>None / minimal</x:v>
      </x:c>
      <x:c r="C5" s="18" t="str">
        <x:v>Moderate contractual or privacy exposure</x:v>
      </x:c>
      <x:c r="D5" s="18" t="str">
        <x:v>High regulatory exposure</x:v>
      </x:c>
      <x:c r="E5" s="18" t="str">
        <x:v>N/A - model capped at 3</x:v>
      </x:c>
      <x:c r="F5" s="18" t="str">
        <x:v>Privacy, financial, healthcare, and contractual obligations.</x:v>
      </x:c>
    </x:row>
    <x:row r="6">
      <x:c r="A6" s="18" t="str">
        <x:v>Subprocessors</x:v>
      </x:c>
      <x:c r="B6" s="18" t="str">
        <x:v>None / immaterial</x:v>
      </x:c>
      <x:c r="C6" s="18" t="str">
        <x:v>One or few material fourth parties</x:v>
      </x:c>
      <x:c r="D6" s="18" t="str">
        <x:v>Multiple or critical fourth parties</x:v>
      </x:c>
      <x:c r="E6" s="18" t="str">
        <x:v>N/A - model capped at 2</x:v>
      </x:c>
      <x:c r="F6" s="18" t="str">
        <x:v>Focus on material subprocessors, not count alone.</x:v>
      </x:c>
    </x:row>
    <x:row r="7">
      <x:c r="A7" s="18" t="str">
        <x:v>External Hosting</x:v>
      </x:c>
      <x:c r="B7" s="18" t="str">
        <x:v>On-prem / no external hosting</x:v>
      </x:c>
      <x:c r="C7" s="18" t="str">
        <x:v>Vendor-hosted or hybrid</x:v>
      </x:c>
      <x:c r="D7" s="18" t="str">
        <x:v>N/A - model capped at 2</x:v>
      </x:c>
      <x:c r="E7" s="18" t="str">
        <x:v>N/A - model capped at 2</x:v>
      </x:c>
      <x:c r="F7" s="18" t="str">
        <x:v>External hosting increases dependency/exposure.</x:v>
      </x:c>
    </x:row>
    <x:row r="8">
      <x:c r="A8" s="18"/>
      <x:c r="B8" s="18"/>
      <x:c r="C8" s="18"/>
      <x:c r="D8" s="18"/>
      <x:c r="E8" s="18"/>
      <x:c r="F8" s="18"/>
    </x:row>
    <x:row r="9">
      <x:c r="A9" s="18"/>
      <x:c r="B9" s="18"/>
      <x:c r="C9" s="18"/>
      <x:c r="D9" s="18"/>
      <x:c r="E9" s="18"/>
      <x:c r="F9" s="18"/>
    </x:row>
    <x:row r="10">
      <x:c r="A10" s="12" t="str">
        <x:v>Total Score</x:v>
      </x:c>
      <x:c r="B10" s="12" t="str">
        <x:v>Inherent Risk</x:v>
      </x:c>
      <x:c r="C10" s="12" t="str">
        <x:v>Tier</x:v>
      </x:c>
      <x:c r="D10" s="12" t="str">
        <x:v>Baseline Due Diligence</x:v>
      </x:c>
      <x:c r="E10" s="18"/>
      <x:c r="F10" s="18"/>
    </x:row>
    <x:row r="11">
      <x:c r="A11" s="18" t="str">
        <x:v>15-19</x:v>
      </x:c>
      <x:c r="B11" s="18" t="str">
        <x:v>Critical</x:v>
      </x:c>
      <x:c r="C11" s="18" t="str">
        <x:v>Tier 1</x:v>
      </x:c>
      <x:c r="D11" s="18" t="str">
        <x:v>Full assessment + evidence + SOC 2 + legal/privacy + BCP/DR + 6-month monitoring</x:v>
      </x:c>
      <x:c r="E11" s="18"/>
      <x:c r="F11" s="18"/>
    </x:row>
    <x:row r="12">
      <x:c r="A12" s="18" t="str">
        <x:v>11-14</x:v>
      </x:c>
      <x:c r="B12" s="18" t="str">
        <x:v>High</x:v>
      </x:c>
      <x:c r="C12" s="18" t="str">
        <x:v>Tier 2</x:v>
      </x:c>
      <x:c r="D12" s="18" t="str">
        <x:v>Full/scoped questionnaire + evidence + SOC 2/ISO + annual reassessment</x:v>
      </x:c>
      <x:c r="E12" s="18"/>
      <x:c r="F12" s="18"/>
    </x:row>
    <x:row r="13">
      <x:c r="A13" s="18" t="str">
        <x:v>7-10</x:v>
      </x:c>
      <x:c r="B13" s="18" t="str">
        <x:v>Medium</x:v>
      </x:c>
      <x:c r="C13" s="18" t="str">
        <x:v>Tier 3</x:v>
      </x:c>
      <x:c r="D13" s="18" t="str">
        <x:v>Scoped questionnaire + key evidence + 24-month reassessment</x:v>
      </x:c>
      <x:c r="E13" s="18"/>
      <x:c r="F13" s="18"/>
    </x:row>
    <x:row r="14">
      <x:c r="A14" s="18" t="str">
        <x:v>0-6</x:v>
      </x:c>
      <x:c r="B14" s="18" t="str">
        <x:v>Low</x:v>
      </x:c>
      <x:c r="C14" s="18" t="str">
        <x:v>Tier 4</x:v>
      </x:c>
      <x:c r="D14" s="18" t="str">
        <x:v>Basic due diligence + 36-month reassessment</x:v>
      </x:c>
      <x:c r="E14" s="18"/>
      <x:c r="F14" s="18"/>
    </x:row>
    <x:row r="15">
      <x:c r="A15" s="18"/>
      <x:c r="B15" s="18"/>
      <x:c r="C15" s="18"/>
      <x:c r="D15" s="18"/>
      <x:c r="E15" s="18"/>
      <x:c r="F15" s="18"/>
    </x:row>
    <x:row r="16">
      <x:c r="A16" s="18"/>
      <x:c r="B16" s="18"/>
      <x:c r="C16" s="18"/>
      <x:c r="D16" s="18"/>
      <x:c r="E16" s="18"/>
      <x:c r="F16" s="18"/>
    </x:row>
    <x:row r="17">
      <x:c r="A17" s="18"/>
      <x:c r="B17" s="18"/>
      <x:c r="C17" s="18"/>
      <x:c r="D17" s="18"/>
      <x:c r="E17" s="18"/>
      <x:c r="F17" s="18"/>
    </x:row>
    <x:row r="18">
      <x:c r="A18" s="18"/>
      <x:c r="B18" s="18"/>
      <x:c r="C18" s="18"/>
      <x:c r="D18" s="18"/>
      <x:c r="E18" s="18"/>
      <x:c r="F18" s="18"/>
    </x:row>
    <x:row r="19">
      <x:c r="A19" s="18"/>
      <x:c r="B19" s="18"/>
      <x:c r="C19" s="18"/>
      <x:c r="D19" s="18"/>
      <x:c r="E19" s="18"/>
      <x:c r="F19" s="18"/>
    </x:row>
    <x:row r="20">
      <x:c r="A20" s="18"/>
      <x:c r="B20" s="18"/>
      <x:c r="C20" s="18"/>
      <x:c r="D20" s="18"/>
      <x:c r="E20" s="18"/>
      <x:c r="F20" s="18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5" hidden="0" customWidth="1"/>
    <x:col min="4" max="4" width="55" hidden="0" customWidth="1"/>
    <x:col min="5" max="5" width="16" hidden="0" customWidth="1"/>
    <x:col min="6" max="6" width="32" hidden="0" customWidth="1"/>
    <x:col min="7" max="7" width="20" hidden="0" customWidth="1"/>
    <x:col min="8" max="8" width="12" hidden="0" customWidth="1"/>
    <x:col min="9" max="9" width="40" hidden="0" customWidth="1"/>
    <x:col min="10" max="10" width="14" hidden="0" customWidth="1"/>
    <x:col min="11" max="11" width="40" hidden="0" customWidth="1"/>
    <x:col min="18" max="18" width="22" hidden="0" customWidth="1"/>
  </x:cols>
  <x:sheetData>
    <x:row r="1">
      <x:c r="A1" s="12" t="str">
        <x:v>Vendor ID</x:v>
      </x:c>
      <x:c r="B1" s="12" t="str">
        <x:v>QID</x:v>
      </x:c>
      <x:c r="C1" s="12" t="str">
        <x:v>Domain</x:v>
      </x:c>
      <x:c r="D1" s="12" t="str">
        <x:v>Practice Question</x:v>
      </x:c>
      <x:c r="E1" s="12" t="str">
        <x:v>Vendor Response</x:v>
      </x:c>
      <x:c r="F1" s="12" t="str">
        <x:v>Evidence Provided</x:v>
      </x:c>
      <x:c r="G1" s="12" t="str">
        <x:v>Analyst Assessment</x:v>
      </x:c>
      <x:c r="H1" s="12" t="str">
        <x:v>Finding?</x:v>
      </x:c>
      <x:c r="I1" s="12" t="str">
        <x:v>Finding Summary</x:v>
      </x:c>
      <x:c r="J1" s="12" t="str">
        <x:v>Risk Severity</x:v>
      </x:c>
      <x:c r="K1" s="12" t="str">
        <x:v>Follow-up Needed</x:v>
      </x:c>
      <x:c r="M1" s="55" t="str">
        <x:v>Questionnaire Scope Note</x:v>
      </x:c>
      <x:c r="N1" s="55"/>
      <x:c r="O1" s="55"/>
      <x:c r="P1" s="55"/>
      <x:c r="Q1" s="55"/>
      <x:c r="R1" s="54" t="str">
        <x:v>FICTIONAL SAMPLE DATA</x:v>
      </x:c>
    </x:row>
    <x:row r="2">
      <x:c r="A2" s="18" t="str">
        <x:v>V-002</x:v>
      </x:c>
      <x:c r="B2" s="18" t="str">
        <x:v>IAM-01</x:v>
      </x:c>
      <x:c r="C2" s="18" t="str">
        <x:v>Identity &amp; Access Management</x:v>
      </x:c>
      <x:c r="D2" s="18" t="str">
        <x:v>Is MFA enforced for all privileged and externally accessible administrative accounts?</x:v>
      </x:c>
      <x:c r="E2" s="18" t="str">
        <x:v>Partial</x:v>
      </x:c>
      <x:c r="F2" s="18" t="str">
        <x:v>Access control policy; admin MFA screenshot</x:v>
      </x:c>
      <x:c r="G2" s="18" t="str">
        <x:v>Partially Effective</x:v>
      </x:c>
      <x:c r="H2" s="18" t="str">
        <x:v>Yes</x:v>
      </x:c>
      <x:c r="I2" s="18" t="str">
        <x:v>MFA not enforced for two legacy break-glass accounts</x:v>
      </x:c>
      <x:c r="J2" s="18" t="str">
        <x:v>High</x:v>
      </x:c>
      <x:c r="K2" s="18" t="str">
        <x:v>Obtain remediation date and compensating monitoring</x:v>
      </x:c>
      <x:c r="M2" s="67" t="str">
        <x:v>Original practice questions covering common vendor security domains. This sheet is intended to demonstrate review technique, evidence validation, and analyst judgment. It is not a copy of CAIQ or SIG.</x:v>
      </x:c>
      <x:c r="N2" s="67"/>
      <x:c r="O2" s="67"/>
      <x:c r="P2" s="67"/>
      <x:c r="Q2" s="67"/>
    </x:row>
    <x:row r="3">
      <x:c r="A3" s="18" t="str">
        <x:v>V-002</x:v>
      </x:c>
      <x:c r="B3" s="18" t="str">
        <x:v>IAM-02</x:v>
      </x:c>
      <x:c r="C3" s="18" t="str">
        <x:v>Identity &amp; Access Management</x:v>
      </x:c>
      <x:c r="D3" s="18" t="str">
        <x:v>Are access rights reviewed periodically and removed promptly when no longer required?</x:v>
      </x:c>
      <x:c r="E3" s="18" t="str">
        <x:v>Yes</x:v>
      </x:c>
      <x:c r="F3" s="18" t="str">
        <x:v>Quarterly access review sample</x:v>
      </x:c>
      <x:c r="G3" s="18" t="str">
        <x:v>Effective</x:v>
      </x:c>
      <x:c r="H3" s="18" t="str">
        <x:v>No</x:v>
      </x:c>
      <x:c r="I3" s="18" t="str"/>
      <x:c r="J3" s="18" t="str"/>
      <x:c r="K3" s="18" t="str"/>
      <x:c r="M3" s="67"/>
      <x:c r="N3" s="67"/>
      <x:c r="O3" s="67"/>
      <x:c r="P3" s="67"/>
      <x:c r="Q3" s="67"/>
    </x:row>
    <x:row r="4">
      <x:c r="A4" s="18" t="str">
        <x:v>V-002</x:v>
      </x:c>
      <x:c r="B4" s="18" t="str">
        <x:v>IAM-03</x:v>
      </x:c>
      <x:c r="C4" s="18" t="str">
        <x:v>Identity &amp; Access Management</x:v>
      </x:c>
      <x:c r="D4" s="18" t="str">
        <x:v>Are service accounts uniquely identified, scoped, rotated, and monitored?</x:v>
      </x:c>
      <x:c r="E4" s="18" t="str">
        <x:v>Partial</x:v>
      </x:c>
      <x:c r="F4" s="18" t="str">
        <x:v>Service account inventory</x:v>
      </x:c>
      <x:c r="G4" s="18" t="str">
        <x:v>Partially Effective</x:v>
      </x:c>
      <x:c r="H4" s="18" t="str">
        <x:v>Yes</x:v>
      </x:c>
      <x:c r="I4" s="18" t="str">
        <x:v>Two service-account secrets rotate annually rather than quarterly</x:v>
      </x:c>
      <x:c r="J4" s="18" t="str">
        <x:v>Medium</x:v>
      </x:c>
      <x:c r="K4" s="18" t="str">
        <x:v>Confirm rotation improvement plan</x:v>
      </x:c>
      <x:c r="M4" s="67"/>
      <x:c r="N4" s="67"/>
      <x:c r="O4" s="67"/>
      <x:c r="P4" s="67"/>
      <x:c r="Q4" s="67"/>
    </x:row>
    <x:row r="5">
      <x:c r="A5" s="18" t="str">
        <x:v>V-002</x:v>
      </x:c>
      <x:c r="B5" s="18" t="str">
        <x:v>DS-01</x:v>
      </x:c>
      <x:c r="C5" s="18" t="str">
        <x:v>Data Security</x:v>
      </x:c>
      <x:c r="D5" s="18" t="str">
        <x:v>Is sensitive customer data encrypted in transit using current secure protocols?</x:v>
      </x:c>
      <x:c r="E5" s="18" t="str">
        <x:v>Yes</x:v>
      </x:c>
      <x:c r="F5" s="18" t="str">
        <x:v>TLS configuration evidence</x:v>
      </x:c>
      <x:c r="G5" s="18" t="str">
        <x:v>Effective</x:v>
      </x:c>
      <x:c r="H5" s="18" t="str">
        <x:v>No</x:v>
      </x:c>
      <x:c r="I5" s="18" t="str"/>
      <x:c r="J5" s="18" t="str"/>
      <x:c r="K5" s="18" t="str"/>
    </x:row>
    <x:row r="6">
      <x:c r="A6" s="18" t="str">
        <x:v>V-002</x:v>
      </x:c>
      <x:c r="B6" s="18" t="str">
        <x:v>DS-02</x:v>
      </x:c>
      <x:c r="C6" s="18" t="str">
        <x:v>Data Security</x:v>
      </x:c>
      <x:c r="D6" s="18" t="str">
        <x:v>Is sensitive customer data encrypted at rest, including backups?</x:v>
      </x:c>
      <x:c r="E6" s="18" t="str">
        <x:v>Yes</x:v>
      </x:c>
      <x:c r="F6" s="18" t="str">
        <x:v>Encryption architecture</x:v>
      </x:c>
      <x:c r="G6" s="18" t="str">
        <x:v>Effective</x:v>
      </x:c>
      <x:c r="H6" s="18" t="str">
        <x:v>No</x:v>
      </x:c>
      <x:c r="I6" s="18" t="str"/>
      <x:c r="J6" s="18" t="str"/>
      <x:c r="K6" s="18" t="str"/>
    </x:row>
    <x:row r="7">
      <x:c r="A7" s="18" t="str">
        <x:v>V-002</x:v>
      </x:c>
      <x:c r="B7" s="18" t="str">
        <x:v>DS-03</x:v>
      </x:c>
      <x:c r="C7" s="18" t="str">
        <x:v>Data Security</x:v>
      </x:c>
      <x:c r="D7" s="18" t="str">
        <x:v>Are retention periods defined and is customer data securely deleted after termination?</x:v>
      </x:c>
      <x:c r="E7" s="18" t="str">
        <x:v>Partial</x:v>
      </x:c>
      <x:c r="F7" s="18" t="str">
        <x:v>Retention policy</x:v>
      </x:c>
      <x:c r="G7" s="18" t="str">
        <x:v>Partially Effective</x:v>
      </x:c>
      <x:c r="H7" s="18" t="str">
        <x:v>Yes</x:v>
      </x:c>
      <x:c r="I7" s="18" t="str">
        <x:v>Backups retained 180 days after termination</x:v>
      </x:c>
      <x:c r="J7" s="18" t="str">
        <x:v>Medium</x:v>
      </x:c>
      <x:c r="K7" s="18" t="str">
        <x:v>Align deletion terms with contract</x:v>
      </x:c>
    </x:row>
    <x:row r="8">
      <x:c r="A8" s="18" t="str">
        <x:v>V-002</x:v>
      </x:c>
      <x:c r="B8" s="18" t="str">
        <x:v>LOG-01</x:v>
      </x:c>
      <x:c r="C8" s="18" t="str">
        <x:v>Logging &amp; Monitoring</x:v>
      </x:c>
      <x:c r="D8" s="18" t="str">
        <x:v>Are security-relevant events centrally logged and monitored?</x:v>
      </x:c>
      <x:c r="E8" s="18" t="str">
        <x:v>Yes</x:v>
      </x:c>
      <x:c r="F8" s="18" t="str">
        <x:v>SIEM architecture + alert sample</x:v>
      </x:c>
      <x:c r="G8" s="18" t="str">
        <x:v>Effective</x:v>
      </x:c>
      <x:c r="H8" s="18" t="str">
        <x:v>No</x:v>
      </x:c>
      <x:c r="I8" s="18" t="str"/>
      <x:c r="J8" s="18" t="str"/>
      <x:c r="K8" s="18" t="str"/>
    </x:row>
    <x:row r="9">
      <x:c r="A9" s="18" t="str">
        <x:v>V-002</x:v>
      </x:c>
      <x:c r="B9" s="18" t="str">
        <x:v>LOG-02</x:v>
      </x:c>
      <x:c r="C9" s="18" t="str">
        <x:v>Logging &amp; Monitoring</x:v>
      </x:c>
      <x:c r="D9" s="18" t="str">
        <x:v>Are privileged/admin activities logged and retained for investigation?</x:v>
      </x:c>
      <x:c r="E9" s="18" t="str">
        <x:v>Yes</x:v>
      </x:c>
      <x:c r="F9" s="18" t="str">
        <x:v>Admin audit-log sample</x:v>
      </x:c>
      <x:c r="G9" s="18" t="str">
        <x:v>Effective</x:v>
      </x:c>
      <x:c r="H9" s="18" t="str">
        <x:v>No</x:v>
      </x:c>
      <x:c r="I9" s="18" t="str"/>
      <x:c r="J9" s="18" t="str"/>
      <x:c r="K9" s="18" t="str"/>
    </x:row>
    <x:row r="10">
      <x:c r="A10" s="18" t="str">
        <x:v>V-002</x:v>
      </x:c>
      <x:c r="B10" s="18" t="str">
        <x:v>VM-01</x:v>
      </x:c>
      <x:c r="C10" s="18" t="str">
        <x:v>Vulnerability Management</x:v>
      </x:c>
      <x:c r="D10" s="18" t="str">
        <x:v>Are vulnerability scans performed on a defined cadence with remediation SLAs?</x:v>
      </x:c>
      <x:c r="E10" s="18" t="str">
        <x:v>Yes</x:v>
      </x:c>
      <x:c r="F10" s="18" t="str">
        <x:v>VM policy + monthly scan summary</x:v>
      </x:c>
      <x:c r="G10" s="18" t="str">
        <x:v>Effective</x:v>
      </x:c>
      <x:c r="H10" s="18" t="str">
        <x:v>No</x:v>
      </x:c>
      <x:c r="I10" s="18" t="str"/>
      <x:c r="J10" s="18" t="str"/>
      <x:c r="K10" s="18" t="str"/>
    </x:row>
    <x:row r="11">
      <x:c r="A11" s="18" t="str">
        <x:v>V-002</x:v>
      </x:c>
      <x:c r="B11" s="18" t="str">
        <x:v>VM-02</x:v>
      </x:c>
      <x:c r="C11" s="18" t="str">
        <x:v>Vulnerability Management</x:v>
      </x:c>
      <x:c r="D11" s="18" t="str">
        <x:v>Is independent penetration testing performed at least annually?</x:v>
      </x:c>
      <x:c r="E11" s="18" t="str">
        <x:v>Yes</x:v>
      </x:c>
      <x:c r="F11" s="18" t="str">
        <x:v>Pentest executive summary</x:v>
      </x:c>
      <x:c r="G11" s="18" t="str">
        <x:v>Partially Effective</x:v>
      </x:c>
      <x:c r="H11" s="18" t="str">
        <x:v>Yes</x:v>
      </x:c>
      <x:c r="I11" s="18" t="str">
        <x:v>Two medium findings remain open past target date</x:v>
      </x:c>
      <x:c r="J11" s="18" t="str">
        <x:v>Medium</x:v>
      </x:c>
      <x:c r="K11" s="18" t="str">
        <x:v>Track to closure</x:v>
      </x:c>
    </x:row>
    <x:row r="12">
      <x:c r="A12" s="18" t="str">
        <x:v>V-002</x:v>
      </x:c>
      <x:c r="B12" s="18" t="str">
        <x:v>SDLC-01</x:v>
      </x:c>
      <x:c r="C12" s="18" t="str">
        <x:v>Secure SDLC</x:v>
      </x:c>
      <x:c r="D12" s="18" t="str">
        <x:v>Are code changes peer reviewed and security testing integrated into the SDLC?</x:v>
      </x:c>
      <x:c r="E12" s="18" t="str">
        <x:v>Yes</x:v>
      </x:c>
      <x:c r="F12" s="18" t="str">
        <x:v>SDLC policy + CI evidence</x:v>
      </x:c>
      <x:c r="G12" s="18" t="str">
        <x:v>Effective</x:v>
      </x:c>
      <x:c r="H12" s="18" t="str">
        <x:v>No</x:v>
      </x:c>
      <x:c r="I12" s="18" t="str"/>
      <x:c r="J12" s="18" t="str"/>
      <x:c r="K12" s="18" t="str"/>
    </x:row>
    <x:row r="13">
      <x:c r="A13" s="18" t="str">
        <x:v>V-002</x:v>
      </x:c>
      <x:c r="B13" s="18" t="str">
        <x:v>SDLC-02</x:v>
      </x:c>
      <x:c r="C13" s="18" t="str">
        <x:v>Secure SDLC</x:v>
      </x:c>
      <x:c r="D13" s="18" t="str">
        <x:v>Are critical/high vulnerabilities prevented from release or formally risk accepted?</x:v>
      </x:c>
      <x:c r="E13" s="18" t="str">
        <x:v>Partial</x:v>
      </x:c>
      <x:c r="F13" s="18" t="str">
        <x:v>Release policy</x:v>
      </x:c>
      <x:c r="G13" s="18" t="str">
        <x:v>Partially Effective</x:v>
      </x:c>
      <x:c r="H13" s="18" t="str">
        <x:v>Yes</x:v>
      </x:c>
      <x:c r="I13" s="18" t="str">
        <x:v>High findings can be released with engineering-manager approval only</x:v>
      </x:c>
      <x:c r="J13" s="18" t="str">
        <x:v>High</x:v>
      </x:c>
      <x:c r="K13" s="18" t="str">
        <x:v>Require security/risk approval for exceptions</x:v>
      </x:c>
    </x:row>
    <x:row r="14">
      <x:c r="A14" s="18" t="str">
        <x:v>V-002</x:v>
      </x:c>
      <x:c r="B14" s="18" t="str">
        <x:v>IR-01</x:v>
      </x:c>
      <x:c r="C14" s="18" t="str">
        <x:v>Incident Response</x:v>
      </x:c>
      <x:c r="D14" s="18" t="str">
        <x:v>Is there a documented incident response plan tested at least annually?</x:v>
      </x:c>
      <x:c r="E14" s="18" t="str">
        <x:v>Yes</x:v>
      </x:c>
      <x:c r="F14" s="18" t="str">
        <x:v>IR plan + tabletop record</x:v>
      </x:c>
      <x:c r="G14" s="18" t="str">
        <x:v>Effective</x:v>
      </x:c>
      <x:c r="H14" s="18" t="str">
        <x:v>No</x:v>
      </x:c>
      <x:c r="I14" s="18" t="str"/>
      <x:c r="J14" s="18" t="str"/>
      <x:c r="K14" s="18" t="str"/>
    </x:row>
    <x:row r="15">
      <x:c r="A15" s="18" t="str">
        <x:v>V-002</x:v>
      </x:c>
      <x:c r="B15" s="18" t="str">
        <x:v>IR-02</x:v>
      </x:c>
      <x:c r="C15" s="18" t="str">
        <x:v>Incident Response</x:v>
      </x:c>
      <x:c r="D15" s="18" t="str">
        <x:v>Will customers be notified within a contractually defined period after a qualifying security incident?</x:v>
      </x:c>
      <x:c r="E15" s="18" t="str">
        <x:v>Partial</x:v>
      </x:c>
      <x:c r="F15" s="18" t="str">
        <x:v>Draft MSA language</x:v>
      </x:c>
      <x:c r="G15" s="18" t="str">
        <x:v>Partially Effective</x:v>
      </x:c>
      <x:c r="H15" s="18" t="str">
        <x:v>Yes</x:v>
      </x:c>
      <x:c r="I15" s="18" t="str">
        <x:v>Incident-notification window not yet contractually committed</x:v>
      </x:c>
      <x:c r="J15" s="18" t="str">
        <x:v>High</x:v>
      </x:c>
      <x:c r="K15" s="18" t="str">
        <x:v>Legal to add notification SLA</x:v>
      </x:c>
    </x:row>
    <x:row r="16">
      <x:c r="A16" s="18" t="str">
        <x:v>V-002</x:v>
      </x:c>
      <x:c r="B16" s="18" t="str">
        <x:v>BCP-01</x:v>
      </x:c>
      <x:c r="C16" s="18" t="str">
        <x:v>BCP / DR</x:v>
      </x:c>
      <x:c r="D16" s="18" t="str">
        <x:v>Are business continuity and disaster recovery plans documented and tested?</x:v>
      </x:c>
      <x:c r="E16" s="18" t="str">
        <x:v>Yes</x:v>
      </x:c>
      <x:c r="F16" s="18" t="str">
        <x:v>BCP/DR plan</x:v>
      </x:c>
      <x:c r="G16" s="18" t="str">
        <x:v>Effective</x:v>
      </x:c>
      <x:c r="H16" s="18" t="str">
        <x:v>No</x:v>
      </x:c>
      <x:c r="I16" s="18" t="str"/>
      <x:c r="J16" s="18" t="str"/>
      <x:c r="K16" s="18" t="str"/>
    </x:row>
    <x:row r="17">
      <x:c r="A17" s="18" t="str">
        <x:v>V-002</x:v>
      </x:c>
      <x:c r="B17" s="18" t="str">
        <x:v>BCP-02</x:v>
      </x:c>
      <x:c r="C17" s="18" t="str">
        <x:v>BCP / DR</x:v>
      </x:c>
      <x:c r="D17" s="18" t="str">
        <x:v>Are RTO and RPO defined for the service and supported by recent recovery testing?</x:v>
      </x:c>
      <x:c r="E17" s="18" t="str">
        <x:v>Partial</x:v>
      </x:c>
      <x:c r="F17" s="18" t="str">
        <x:v>DR test report</x:v>
      </x:c>
      <x:c r="G17" s="18" t="str">
        <x:v>Partially Effective</x:v>
      </x:c>
      <x:c r="H17" s="18" t="str">
        <x:v>Yes</x:v>
      </x:c>
      <x:c r="I17" s="18" t="str">
        <x:v>Latest DR test exceeded stated RTO by 90 minutes</x:v>
      </x:c>
      <x:c r="J17" s="18" t="str">
        <x:v>High</x:v>
      </x:c>
      <x:c r="K17" s="18" t="str">
        <x:v>Require corrective action and retest</x:v>
      </x:c>
    </x:row>
    <x:row r="18">
      <x:c r="A18" s="18" t="str">
        <x:v>V-002</x:v>
      </x:c>
      <x:c r="B18" s="18" t="str">
        <x:v>PRV-01</x:v>
      </x:c>
      <x:c r="C18" s="18" t="str">
        <x:v>Privacy</x:v>
      </x:c>
      <x:c r="D18" s="18" t="str">
        <x:v>Is personal data processed only for documented purposes and subject to retention/deletion controls?</x:v>
      </x:c>
      <x:c r="E18" s="18" t="str">
        <x:v>Yes</x:v>
      </x:c>
      <x:c r="F18" s="18" t="str">
        <x:v>Privacy policy + DPA</x:v>
      </x:c>
      <x:c r="G18" s="18" t="str">
        <x:v>Effective</x:v>
      </x:c>
      <x:c r="H18" s="18" t="str">
        <x:v>No</x:v>
      </x:c>
      <x:c r="I18" s="18" t="str"/>
      <x:c r="J18" s="18" t="str"/>
      <x:c r="K18" s="18" t="str"/>
    </x:row>
    <x:row r="19">
      <x:c r="A19" s="18" t="str">
        <x:v>V-002</x:v>
      </x:c>
      <x:c r="B19" s="18" t="str">
        <x:v>PRV-02</x:v>
      </x:c>
      <x:c r="C19" s="18" t="str">
        <x:v>Privacy</x:v>
      </x:c>
      <x:c r="D19" s="18" t="str">
        <x:v>Is there a maintained list of subprocessors and a process for notifying customers of material changes?</x:v>
      </x:c>
      <x:c r="E19" s="18" t="str">
        <x:v>Yes</x:v>
      </x:c>
      <x:c r="F19" s="18" t="str">
        <x:v>Subprocessor list</x:v>
      </x:c>
      <x:c r="G19" s="18" t="str">
        <x:v>Effective</x:v>
      </x:c>
      <x:c r="H19" s="18" t="str">
        <x:v>No</x:v>
      </x:c>
      <x:c r="I19" s="18" t="str"/>
      <x:c r="J19" s="18" t="str"/>
      <x:c r="K19" s="18" t="str"/>
    </x:row>
    <x:row r="20">
      <x:c r="A20" s="18" t="str">
        <x:v>V-002</x:v>
      </x:c>
      <x:c r="B20" s="18" t="str">
        <x:v>TP-01</x:v>
      </x:c>
      <x:c r="C20" s="18" t="str">
        <x:v>Third/Fourth Party</x:v>
      </x:c>
      <x:c r="D20" s="18" t="str">
        <x:v>Does the vendor assess security risk of critical subprocessors before onboarding and periodically thereafter?</x:v>
      </x:c>
      <x:c r="E20" s="18" t="str">
        <x:v>Partial</x:v>
      </x:c>
      <x:c r="F20" s="18" t="str">
        <x:v>Third-party policy</x:v>
      </x:c>
      <x:c r="G20" s="18" t="str">
        <x:v>Partially Effective</x:v>
      </x:c>
      <x:c r="H20" s="18" t="str">
        <x:v>Yes</x:v>
      </x:c>
      <x:c r="I20" s="18" t="str">
        <x:v>Critical subprocessors are assessed only at onboarding</x:v>
      </x:c>
      <x:c r="J20" s="18" t="str">
        <x:v>Medium</x:v>
      </x:c>
      <x:c r="K20" s="18" t="str">
        <x:v>Add periodic reassessment</x:v>
      </x:c>
    </x:row>
    <x:row r="21">
      <x:c r="A21" s="18" t="str">
        <x:v>V-002</x:v>
      </x:c>
      <x:c r="B21" s="18" t="str">
        <x:v>TP-02</x:v>
      </x:c>
      <x:c r="C21" s="18" t="str">
        <x:v>Third/Fourth Party</x:v>
      </x:c>
      <x:c r="D21" s="18" t="str">
        <x:v>Are security obligations flowed down contractually to critical subprocessors?</x:v>
      </x:c>
      <x:c r="E21" s="18" t="str">
        <x:v>Yes</x:v>
      </x:c>
      <x:c r="F21" s="18" t="str">
        <x:v>Template supplier security addendum</x:v>
      </x:c>
      <x:c r="G21" s="18" t="str">
        <x:v>Effective</x:v>
      </x:c>
      <x:c r="H21" s="18" t="str">
        <x:v>No</x:v>
      </x:c>
      <x:c r="I21" s="18" t="str"/>
      <x:c r="J21" s="18" t="str"/>
      <x:c r="K21" s="18" t="str"/>
    </x:row>
    <x:row r="22">
      <x:c r="A22" s="18" t="str">
        <x:v>V-002</x:v>
      </x:c>
      <x:c r="B22" s="18" t="str">
        <x:v>GOV-01</x:v>
      </x:c>
      <x:c r="C22" s="18" t="str">
        <x:v>Governance</x:v>
      </x:c>
      <x:c r="D22" s="18" t="str">
        <x:v>Is there an enterprise information security program with assigned ownership and periodic management review?</x:v>
      </x:c>
      <x:c r="E22" s="18" t="str">
        <x:v>Yes</x:v>
      </x:c>
      <x:c r="F22" s="18" t="str">
        <x:v>Security governance charter</x:v>
      </x:c>
      <x:c r="G22" s="18" t="str">
        <x:v>Effective</x:v>
      </x:c>
      <x:c r="H22" s="18" t="str">
        <x:v>No</x:v>
      </x:c>
      <x:c r="I22" s="18" t="str"/>
      <x:c r="J22" s="18" t="str"/>
      <x:c r="K22" s="18" t="str"/>
    </x:row>
    <x:row r="23">
      <x:c r="A23" s="18" t="str">
        <x:v>V-002</x:v>
      </x:c>
      <x:c r="B23" s="18" t="str">
        <x:v>GOV-02</x:v>
      </x:c>
      <x:c r="C23" s="18" t="str">
        <x:v>Governance</x:v>
      </x:c>
      <x:c r="D23" s="18" t="str">
        <x:v>Are security policies reviewed at least annually and approved by appropriate leadership?</x:v>
      </x:c>
      <x:c r="E23" s="18" t="str">
        <x:v>Yes</x:v>
      </x:c>
      <x:c r="F23" s="18" t="str">
        <x:v>Policy approval record</x:v>
      </x:c>
      <x:c r="G23" s="18" t="str">
        <x:v>Effective</x:v>
      </x:c>
      <x:c r="H23" s="18" t="str">
        <x:v>No</x:v>
      </x:c>
      <x:c r="I23" s="18" t="str"/>
      <x:c r="J23" s="18" t="str"/>
      <x:c r="K23" s="18" t="str"/>
    </x:row>
    <x:row r="24">
      <x:c r="A24" s="18" t="str">
        <x:v>V-002</x:v>
      </x:c>
      <x:c r="B24" s="18" t="str">
        <x:v>CHG-01</x:v>
      </x:c>
      <x:c r="C24" s="18" t="str">
        <x:v>Change Management</x:v>
      </x:c>
      <x:c r="D24" s="18" t="str">
        <x:v>Are production changes authorized, tested, and traceable to approved change records?</x:v>
      </x:c>
      <x:c r="E24" s="18" t="str">
        <x:v>Yes</x:v>
      </x:c>
      <x:c r="F24" s="18" t="str">
        <x:v>Sample change tickets</x:v>
      </x:c>
      <x:c r="G24" s="18" t="str">
        <x:v>Effective</x:v>
      </x:c>
      <x:c r="H24" s="18" t="str">
        <x:v>No</x:v>
      </x:c>
      <x:c r="I24" s="18" t="str"/>
      <x:c r="J24" s="18" t="str"/>
      <x:c r="K24" s="18" t="str"/>
    </x:row>
    <x:row r="25">
      <x:c r="A25" s="18" t="str">
        <x:v>V-002</x:v>
      </x:c>
      <x:c r="B25" s="18" t="str">
        <x:v>CFG-01</x:v>
      </x:c>
      <x:c r="C25" s="18" t="str">
        <x:v>Configuration</x:v>
      </x:c>
      <x:c r="D25" s="18" t="str">
        <x:v>Are secure configuration baselines maintained and deviations tracked?</x:v>
      </x:c>
      <x:c r="E25" s="18" t="str">
        <x:v>Yes</x:v>
      </x:c>
      <x:c r="F25" s="18" t="str">
        <x:v>Baseline standard</x:v>
      </x:c>
      <x:c r="G25" s="18" t="str">
        <x:v>Effective</x:v>
      </x:c>
      <x:c r="H25" s="18" t="str">
        <x:v>No</x:v>
      </x:c>
      <x:c r="I25" s="18" t="str"/>
      <x:c r="J25" s="18" t="str"/>
      <x:c r="K25" s="18" t="str"/>
    </x:row>
    <x:row r="26">
      <x:c r="A26" s="18" t="str">
        <x:v>V-002</x:v>
      </x:c>
      <x:c r="B26" s="18" t="str">
        <x:v>END-01</x:v>
      </x:c>
      <x:c r="C26" s="18" t="str">
        <x:v>Endpoint Security</x:v>
      </x:c>
      <x:c r="D26" s="18" t="str">
        <x:v>Are corporate endpoints protected with EDR/anti-malware and centralized management?</x:v>
      </x:c>
      <x:c r="E26" s="18" t="str">
        <x:v>Yes</x:v>
      </x:c>
      <x:c r="F26" s="18" t="str">
        <x:v>EDR deployment report</x:v>
      </x:c>
      <x:c r="G26" s="18" t="str">
        <x:v>Effective</x:v>
      </x:c>
      <x:c r="H26" s="18" t="str">
        <x:v>No</x:v>
      </x:c>
      <x:c r="I26" s="18" t="str"/>
      <x:c r="J26" s="18" t="str"/>
      <x:c r="K26" s="18" t="str"/>
    </x:row>
    <x:row r="27">
      <x:c r="A27" s="18" t="str">
        <x:v>V-002</x:v>
      </x:c>
      <x:c r="B27" s="18" t="str">
        <x:v>NET-01</x:v>
      </x:c>
      <x:c r="C27" s="18" t="str">
        <x:v>Network Security</x:v>
      </x:c>
      <x:c r="D27" s="18" t="str">
        <x:v>Are production environments segmented and protected by network security controls?</x:v>
      </x:c>
      <x:c r="E27" s="18" t="str">
        <x:v>Yes</x:v>
      </x:c>
      <x:c r="F27" s="18" t="str">
        <x:v>Network architecture summary</x:v>
      </x:c>
      <x:c r="G27" s="18" t="str">
        <x:v>Effective</x:v>
      </x:c>
      <x:c r="H27" s="18" t="str">
        <x:v>No</x:v>
      </x:c>
      <x:c r="I27" s="18" t="str"/>
      <x:c r="J27" s="18" t="str"/>
      <x:c r="K27" s="18" t="str"/>
    </x:row>
    <x:row r="28">
      <x:c r="A28" s="18" t="str">
        <x:v>V-002</x:v>
      </x:c>
      <x:c r="B28" s="18" t="str">
        <x:v>KEY-01</x:v>
      </x:c>
      <x:c r="C28" s="18" t="str">
        <x:v>Cryptography &amp; Key Management</x:v>
      </x:c>
      <x:c r="D28" s="18" t="str">
        <x:v>Are encryption keys protected, access-restricted, rotated, and separated from encrypted data?</x:v>
      </x:c>
      <x:c r="E28" s="18" t="str">
        <x:v>Yes</x:v>
      </x:c>
      <x:c r="F28" s="18" t="str">
        <x:v>KMS/key-management standard</x:v>
      </x:c>
      <x:c r="G28" s="18" t="str">
        <x:v>Effective</x:v>
      </x:c>
      <x:c r="H28" s="18" t="str">
        <x:v>No</x:v>
      </x:c>
      <x:c r="I28" s="18" t="str"/>
      <x:c r="J28" s="18" t="str"/>
      <x:c r="K28" s="18" t="str"/>
    </x:row>
    <x:row r="29">
      <x:c r="A29" s="18" t="str">
        <x:v>V-002</x:v>
      </x:c>
      <x:c r="B29" s="18" t="str">
        <x:v>ASS-01</x:v>
      </x:c>
      <x:c r="C29" s="18" t="str">
        <x:v>Assurance</x:v>
      </x:c>
      <x:c r="D29" s="18" t="str">
        <x:v>Can the vendor provide current independent assurance such as SOC 2 Type II or ISO 27001 certification?</x:v>
      </x:c>
      <x:c r="E29" s="18" t="str">
        <x:v>Yes</x:v>
      </x:c>
      <x:c r="F29" s="18" t="str">
        <x:v>SOC 2 Type II + ISO certificate</x:v>
      </x:c>
      <x:c r="G29" s="18" t="str">
        <x:v>Effective</x:v>
      </x:c>
      <x:c r="H29" s="18" t="str">
        <x:v>No</x:v>
      </x:c>
      <x:c r="I29" s="18" t="str"/>
      <x:c r="J29" s="18" t="str"/>
      <x:c r="K29" s="18" t="str"/>
    </x:row>
    <x:row r="30">
      <x:c r="A30" s="18" t="str">
        <x:v>V-002</x:v>
      </x:c>
      <x:c r="B30" s="18" t="str">
        <x:v>PHY-01</x:v>
      </x:c>
      <x:c r="C30" s="18" t="str">
        <x:v>Physical Security</x:v>
      </x:c>
      <x:c r="D30" s="18" t="str">
        <x:v>Are physical access controls appropriate for facilities supporting the service?</x:v>
      </x:c>
      <x:c r="E30" s="18" t="str">
        <x:v>Inherited</x:v>
      </x:c>
      <x:c r="F30" s="18" t="str">
        <x:v>Cloud provider assurance</x:v>
      </x:c>
      <x:c r="G30" s="18" t="str">
        <x:v>Effective</x:v>
      </x:c>
      <x:c r="H30" s="18" t="str">
        <x:v>No</x:v>
      </x:c>
      <x:c r="I30" s="18" t="str"/>
      <x:c r="J30" s="18" t="str"/>
      <x:c r="K30" s="18" t="str"/>
    </x:row>
    <x:row r="31">
      <x:c r="A31" s="18" t="str">
        <x:v>V-002</x:v>
      </x:c>
      <x:c r="B31" s="18" t="str">
        <x:v>HR-01</x:v>
      </x:c>
      <x:c r="C31" s="18" t="str">
        <x:v>Personnel Security</x:v>
      </x:c>
      <x:c r="D31" s="18" t="str">
        <x:v>Are workforce security responsibilities, background screening where lawful, and termination access processes defined?</x:v>
      </x:c>
      <x:c r="E31" s="18" t="str">
        <x:v>Yes</x:v>
      </x:c>
      <x:c r="F31" s="18" t="str">
        <x:v>HR security policy</x:v>
      </x:c>
      <x:c r="G31" s="18" t="str">
        <x:v>Effective</x:v>
      </x:c>
      <x:c r="H31" s="18" t="str">
        <x:v>No</x:v>
      </x:c>
      <x:c r="I31" s="18" t="str"/>
      <x:c r="J31" s="18" t="str"/>
      <x:c r="K31" s="18" t="str"/>
    </x:row>
    <x:row r="32">
      <x:c r="A32" s="18" t="str">
        <x:v>V-001</x:v>
      </x:c>
      <x:c r="B32" s="18" t="str">
        <x:v>IAM-01</x:v>
      </x:c>
      <x:c r="C32" s="18" t="str">
        <x:v>Identity &amp; Access Management</x:v>
      </x:c>
      <x:c r="D32" s="18" t="str">
        <x:v>Is MFA enforced for all privileged and externally accessible administrative accounts?</x:v>
      </x:c>
      <x:c r="E32" s="18" t="str">
        <x:v>Yes</x:v>
      </x:c>
      <x:c r="F32" s="18" t="str">
        <x:v>Policy / sample evidence</x:v>
      </x:c>
      <x:c r="G32" s="18" t="str">
        <x:v>Effective</x:v>
      </x:c>
      <x:c r="H32" s="18" t="str">
        <x:v>No</x:v>
      </x:c>
      <x:c r="I32" s="18" t="str"/>
      <x:c r="J32" s="18" t="str"/>
      <x:c r="K32" s="18" t="str"/>
    </x:row>
    <x:row r="33">
      <x:c r="A33" s="18" t="str">
        <x:v>V-001</x:v>
      </x:c>
      <x:c r="B33" s="18" t="str">
        <x:v>IAM-02</x:v>
      </x:c>
      <x:c r="C33" s="18" t="str">
        <x:v>Identity &amp; Access Management</x:v>
      </x:c>
      <x:c r="D33" s="18" t="str">
        <x:v>Are access rights reviewed periodically and removed promptly when no longer required?</x:v>
      </x:c>
      <x:c r="E33" s="18" t="str">
        <x:v>Yes</x:v>
      </x:c>
      <x:c r="F33" s="18" t="str">
        <x:v>Policy / sample evidence</x:v>
      </x:c>
      <x:c r="G33" s="18" t="str">
        <x:v>Effective</x:v>
      </x:c>
      <x:c r="H33" s="18" t="str">
        <x:v>No</x:v>
      </x:c>
      <x:c r="I33" s="18" t="str"/>
      <x:c r="J33" s="18" t="str"/>
      <x:c r="K33" s="18" t="str"/>
    </x:row>
    <x:row r="34">
      <x:c r="A34" s="18" t="str">
        <x:v>V-001</x:v>
      </x:c>
      <x:c r="B34" s="18" t="str">
        <x:v>IAM-03</x:v>
      </x:c>
      <x:c r="C34" s="18" t="str">
        <x:v>Identity &amp; Access Management</x:v>
      </x:c>
      <x:c r="D34" s="18" t="str">
        <x:v>Are service accounts uniquely identified, scoped, rotated, and monitored?</x:v>
      </x:c>
      <x:c r="E34" s="18" t="str">
        <x:v>Yes</x:v>
      </x:c>
      <x:c r="F34" s="18" t="str">
        <x:v>Policy / sample evidence</x:v>
      </x:c>
      <x:c r="G34" s="18" t="str">
        <x:v>Effective</x:v>
      </x:c>
      <x:c r="H34" s="18" t="str">
        <x:v>No</x:v>
      </x:c>
      <x:c r="I34" s="18" t="str"/>
      <x:c r="J34" s="18" t="str"/>
      <x:c r="K34" s="18" t="str"/>
    </x:row>
    <x:row r="35">
      <x:c r="A35" s="18" t="str">
        <x:v>V-001</x:v>
      </x:c>
      <x:c r="B35" s="18" t="str">
        <x:v>DS-01</x:v>
      </x:c>
      <x:c r="C35" s="18" t="str">
        <x:v>Data Security</x:v>
      </x:c>
      <x:c r="D35" s="18" t="str">
        <x:v>Is sensitive customer data encrypted in transit using current secure protocols?</x:v>
      </x:c>
      <x:c r="E35" s="18" t="str">
        <x:v>Yes</x:v>
      </x:c>
      <x:c r="F35" s="18" t="str">
        <x:v>Policy / sample evidence</x:v>
      </x:c>
      <x:c r="G35" s="18" t="str">
        <x:v>Effective</x:v>
      </x:c>
      <x:c r="H35" s="18" t="str">
        <x:v>No</x:v>
      </x:c>
      <x:c r="I35" s="18" t="str"/>
      <x:c r="J35" s="18" t="str"/>
      <x:c r="K35" s="18" t="str"/>
    </x:row>
    <x:row r="36">
      <x:c r="A36" s="18" t="str">
        <x:v>V-001</x:v>
      </x:c>
      <x:c r="B36" s="18" t="str">
        <x:v>DS-02</x:v>
      </x:c>
      <x:c r="C36" s="18" t="str">
        <x:v>Data Security</x:v>
      </x:c>
      <x:c r="D36" s="18" t="str">
        <x:v>Is sensitive customer data encrypted at rest, including backups?</x:v>
      </x:c>
      <x:c r="E36" s="18" t="str">
        <x:v>Yes</x:v>
      </x:c>
      <x:c r="F36" s="18" t="str">
        <x:v>Policy / sample evidence</x:v>
      </x:c>
      <x:c r="G36" s="18" t="str">
        <x:v>Effective</x:v>
      </x:c>
      <x:c r="H36" s="18" t="str">
        <x:v>No</x:v>
      </x:c>
      <x:c r="I36" s="18" t="str"/>
      <x:c r="J36" s="18" t="str"/>
      <x:c r="K36" s="18" t="str"/>
    </x:row>
    <x:row r="37">
      <x:c r="A37" s="18" t="str">
        <x:v>V-001</x:v>
      </x:c>
      <x:c r="B37" s="18" t="str">
        <x:v>DS-03</x:v>
      </x:c>
      <x:c r="C37" s="18" t="str">
        <x:v>Data Security</x:v>
      </x:c>
      <x:c r="D37" s="18" t="str">
        <x:v>Are retention periods defined and is customer data securely deleted after termination?</x:v>
      </x:c>
      <x:c r="E37" s="18" t="str">
        <x:v>Partial</x:v>
      </x:c>
      <x:c r="F37" s="18" t="str">
        <x:v>Retention schedule</x:v>
      </x:c>
      <x:c r="G37" s="18" t="str">
        <x:v>Partially Effective</x:v>
      </x:c>
      <x:c r="H37" s="18" t="str">
        <x:v>Yes</x:v>
      </x:c>
      <x:c r="I37" s="18" t="str">
        <x:v>Employee-data deletion evidence is not available for backups</x:v>
      </x:c>
      <x:c r="J37" s="18" t="str">
        <x:v>Medium</x:v>
      </x:c>
      <x:c r="K37" s="18" t="str">
        <x:v>Request deletion evidence</x:v>
      </x:c>
    </x:row>
    <x:row r="38">
      <x:c r="A38" s="18" t="str">
        <x:v>V-001</x:v>
      </x:c>
      <x:c r="B38" s="18" t="str">
        <x:v>LOG-01</x:v>
      </x:c>
      <x:c r="C38" s="18" t="str">
        <x:v>Logging &amp; Monitoring</x:v>
      </x:c>
      <x:c r="D38" s="18" t="str">
        <x:v>Are security-relevant events centrally logged and monitored?</x:v>
      </x:c>
      <x:c r="E38" s="18" t="str">
        <x:v>Yes</x:v>
      </x:c>
      <x:c r="F38" s="18" t="str">
        <x:v>Policy / sample evidence</x:v>
      </x:c>
      <x:c r="G38" s="18" t="str">
        <x:v>Effective</x:v>
      </x:c>
      <x:c r="H38" s="18" t="str">
        <x:v>No</x:v>
      </x:c>
      <x:c r="I38" s="18" t="str"/>
      <x:c r="J38" s="18" t="str"/>
      <x:c r="K38" s="18" t="str"/>
    </x:row>
    <x:row r="39">
      <x:c r="A39" s="18" t="str">
        <x:v>V-001</x:v>
      </x:c>
      <x:c r="B39" s="18" t="str">
        <x:v>LOG-02</x:v>
      </x:c>
      <x:c r="C39" s="18" t="str">
        <x:v>Logging &amp; Monitoring</x:v>
      </x:c>
      <x:c r="D39" s="18" t="str">
        <x:v>Are privileged/admin activities logged and retained for investigation?</x:v>
      </x:c>
      <x:c r="E39" s="18" t="str">
        <x:v>Yes</x:v>
      </x:c>
      <x:c r="F39" s="18" t="str">
        <x:v>Policy / sample evidence</x:v>
      </x:c>
      <x:c r="G39" s="18" t="str">
        <x:v>Effective</x:v>
      </x:c>
      <x:c r="H39" s="18" t="str">
        <x:v>No</x:v>
      </x:c>
      <x:c r="I39" s="18" t="str"/>
      <x:c r="J39" s="18" t="str"/>
      <x:c r="K39" s="18" t="str"/>
    </x:row>
    <x:row r="40">
      <x:c r="A40" s="18" t="str">
        <x:v>V-003</x:v>
      </x:c>
      <x:c r="B40" s="18" t="str">
        <x:v>IAM-01</x:v>
      </x:c>
      <x:c r="C40" s="18" t="str">
        <x:v>Identity &amp; Access Management</x:v>
      </x:c>
      <x:c r="D40" s="18" t="str">
        <x:v>Is MFA enforced for all privileged and externally accessible administrative accounts?</x:v>
      </x:c>
      <x:c r="E40" s="18" t="str">
        <x:v>Yes</x:v>
      </x:c>
      <x:c r="F40" s="18" t="str">
        <x:v>Policy / sample evidence</x:v>
      </x:c>
      <x:c r="G40" s="18" t="str">
        <x:v>Effective</x:v>
      </x:c>
      <x:c r="H40" s="18" t="str">
        <x:v>No</x:v>
      </x:c>
      <x:c r="I40" s="18" t="str"/>
      <x:c r="J40" s="18" t="str"/>
      <x:c r="K40" s="18" t="str"/>
    </x:row>
    <x:row r="41">
      <x:c r="A41" s="18" t="str">
        <x:v>V-003</x:v>
      </x:c>
      <x:c r="B41" s="18" t="str">
        <x:v>IAM-02</x:v>
      </x:c>
      <x:c r="C41" s="18" t="str">
        <x:v>Identity &amp; Access Management</x:v>
      </x:c>
      <x:c r="D41" s="18" t="str">
        <x:v>Are access rights reviewed periodically and removed promptly when no longer required?</x:v>
      </x:c>
      <x:c r="E41" s="18" t="str">
        <x:v>Yes</x:v>
      </x:c>
      <x:c r="F41" s="18" t="str">
        <x:v>Policy / sample evidence</x:v>
      </x:c>
      <x:c r="G41" s="18" t="str">
        <x:v>Effective</x:v>
      </x:c>
      <x:c r="H41" s="18" t="str">
        <x:v>No</x:v>
      </x:c>
      <x:c r="I41" s="18" t="str"/>
      <x:c r="J41" s="18" t="str"/>
      <x:c r="K41" s="18" t="str"/>
    </x:row>
    <x:row r="42">
      <x:c r="A42" s="18" t="str">
        <x:v>V-003</x:v>
      </x:c>
      <x:c r="B42" s="18" t="str">
        <x:v>IAM-03</x:v>
      </x:c>
      <x:c r="C42" s="18" t="str">
        <x:v>Identity &amp; Access Management</x:v>
      </x:c>
      <x:c r="D42" s="18" t="str">
        <x:v>Are service accounts uniquely identified, scoped, rotated, and monitored?</x:v>
      </x:c>
      <x:c r="E42" s="18" t="str">
        <x:v>Yes</x:v>
      </x:c>
      <x:c r="F42" s="18" t="str">
        <x:v>Policy / sample evidence</x:v>
      </x:c>
      <x:c r="G42" s="18" t="str">
        <x:v>Effective</x:v>
      </x:c>
      <x:c r="H42" s="18" t="str">
        <x:v>No</x:v>
      </x:c>
      <x:c r="I42" s="18" t="str"/>
      <x:c r="J42" s="18" t="str"/>
      <x:c r="K42" s="18" t="str"/>
    </x:row>
    <x:row r="43">
      <x:c r="A43" s="18" t="str">
        <x:v>V-003</x:v>
      </x:c>
      <x:c r="B43" s="18" t="str">
        <x:v>DS-01</x:v>
      </x:c>
      <x:c r="C43" s="18" t="str">
        <x:v>Data Security</x:v>
      </x:c>
      <x:c r="D43" s="18" t="str">
        <x:v>Is sensitive customer data encrypted in transit using current secure protocols?</x:v>
      </x:c>
      <x:c r="E43" s="18" t="str">
        <x:v>Yes</x:v>
      </x:c>
      <x:c r="F43" s="18" t="str">
        <x:v>Policy / sample evidence</x:v>
      </x:c>
      <x:c r="G43" s="18" t="str">
        <x:v>Effective</x:v>
      </x:c>
      <x:c r="H43" s="18" t="str">
        <x:v>No</x:v>
      </x:c>
      <x:c r="I43" s="18" t="str"/>
      <x:c r="J43" s="18" t="str"/>
      <x:c r="K43" s="18" t="str"/>
    </x:row>
    <x:row r="44">
      <x:c r="A44" s="18" t="str">
        <x:v>V-003</x:v>
      </x:c>
      <x:c r="B44" s="18" t="str">
        <x:v>DS-02</x:v>
      </x:c>
      <x:c r="C44" s="18" t="str">
        <x:v>Data Security</x:v>
      </x:c>
      <x:c r="D44" s="18" t="str">
        <x:v>Is sensitive customer data encrypted at rest, including backups?</x:v>
      </x:c>
      <x:c r="E44" s="18" t="str">
        <x:v>Yes</x:v>
      </x:c>
      <x:c r="F44" s="18" t="str">
        <x:v>Policy / sample evidence</x:v>
      </x:c>
      <x:c r="G44" s="18" t="str">
        <x:v>Effective</x:v>
      </x:c>
      <x:c r="H44" s="18" t="str">
        <x:v>No</x:v>
      </x:c>
      <x:c r="I44" s="18" t="str"/>
      <x:c r="J44" s="18" t="str"/>
      <x:c r="K44" s="18" t="str"/>
    </x:row>
    <x:row r="45">
      <x:c r="A45" s="18" t="str">
        <x:v>V-003</x:v>
      </x:c>
      <x:c r="B45" s="18" t="str">
        <x:v>DS-03</x:v>
      </x:c>
      <x:c r="C45" s="18" t="str">
        <x:v>Data Security</x:v>
      </x:c>
      <x:c r="D45" s="18" t="str">
        <x:v>Are retention periods defined and is customer data securely deleted after termination?</x:v>
      </x:c>
      <x:c r="E45" s="18" t="str">
        <x:v>Yes</x:v>
      </x:c>
      <x:c r="F45" s="18" t="str">
        <x:v>Policy / sample evidence</x:v>
      </x:c>
      <x:c r="G45" s="18" t="str">
        <x:v>Effective</x:v>
      </x:c>
      <x:c r="H45" s="18" t="str">
        <x:v>No</x:v>
      </x:c>
      <x:c r="I45" s="18" t="str"/>
      <x:c r="J45" s="18" t="str"/>
      <x:c r="K45" s="18" t="str"/>
    </x:row>
    <x:row r="46">
      <x:c r="A46" s="18" t="str">
        <x:v>V-003</x:v>
      </x:c>
      <x:c r="B46" s="18" t="str">
        <x:v>LOG-01</x:v>
      </x:c>
      <x:c r="C46" s="18" t="str">
        <x:v>Logging &amp; Monitoring</x:v>
      </x:c>
      <x:c r="D46" s="18" t="str">
        <x:v>Are security-relevant events centrally logged and monitored?</x:v>
      </x:c>
      <x:c r="E46" s="18" t="str">
        <x:v>Yes</x:v>
      </x:c>
      <x:c r="F46" s="18" t="str">
        <x:v>Policy / sample evidence</x:v>
      </x:c>
      <x:c r="G46" s="18" t="str">
        <x:v>Effective</x:v>
      </x:c>
      <x:c r="H46" s="18" t="str">
        <x:v>No</x:v>
      </x:c>
      <x:c r="I46" s="18" t="str"/>
      <x:c r="J46" s="18" t="str"/>
      <x:c r="K46" s="18" t="str"/>
    </x:row>
    <x:row r="47">
      <x:c r="A47" s="18" t="str">
        <x:v>V-003</x:v>
      </x:c>
      <x:c r="B47" s="18" t="str">
        <x:v>LOG-02</x:v>
      </x:c>
      <x:c r="C47" s="18" t="str">
        <x:v>Logging &amp; Monitoring</x:v>
      </x:c>
      <x:c r="D47" s="18" t="str">
        <x:v>Are privileged/admin activities logged and retained for investigation?</x:v>
      </x:c>
      <x:c r="E47" s="18" t="str">
        <x:v>Yes</x:v>
      </x:c>
      <x:c r="F47" s="18" t="str">
        <x:v>Policy / sample evidence</x:v>
      </x:c>
      <x:c r="G47" s="18" t="str">
        <x:v>Effective</x:v>
      </x:c>
      <x:c r="H47" s="18" t="str">
        <x:v>No</x:v>
      </x:c>
      <x:c r="I47" s="18" t="str"/>
      <x:c r="J47" s="18" t="str"/>
      <x:c r="K47" s="18" t="str"/>
    </x:row>
  </x:sheetData>
  <x:mergeCells>
    <x:mergeCell ref="M1:Q1"/>
    <x:mergeCell ref="M2:Q4"/>
  </x:mergeCells>
  <x:conditionalFormatting sqref="H2:H47">
    <x:cfRule type="expression" dxfId="4" priority="1">
      <x:formula>$H2="Yes"</x:formula>
    </x:cfRule>
  </x:conditionalFormatting>
  <x:dataValidations count="4">
    <x:dataValidation type="list" sqref="E2:E47">
      <x:formula1>"Yes,No,Partial,N/A,Inherited"</x:formula1>
    </x:dataValidation>
    <x:dataValidation type="list" sqref="G2:G47">
      <x:formula1>"Effective,Partially Effective,Ineffective,Not Assessed"</x:formula1>
    </x:dataValidation>
    <x:dataValidation type="list" sqref="H2:H47">
      <x:formula1>"Yes,No"</x:formula1>
    </x:dataValidation>
    <x:dataValidation type="list" sqref="J2:J47">
      <x:formula1>"Critical,High,Medium,Low,N/A"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12" hidden="0" customWidth="1"/>
    <x:col min="4" max="4" width="12" hidden="0" customWidth="1"/>
    <x:col min="5" max="5" width="14" hidden="0" customWidth="1"/>
    <x:col min="6" max="6" width="34" hidden="0" customWidth="1"/>
    <x:col min="7" max="7" width="46" hidden="0" customWidth="1"/>
    <x:col min="8" max="8" width="44" hidden="0" customWidth="1"/>
    <x:col min="9" max="9" width="14" hidden="0" customWidth="1"/>
    <x:col min="18" max="18" width="22" hidden="0" customWidth="1"/>
  </x:cols>
  <x:sheetData>
    <x:row r="1">
      <x:c r="A1" s="12" t="str">
        <x:v>Vendor ID</x:v>
      </x:c>
      <x:c r="B1" s="12" t="str">
        <x:v>Artifact</x:v>
      </x:c>
      <x:c r="C1" s="12" t="str">
        <x:v>Requested</x:v>
      </x:c>
      <x:c r="D1" s="12" t="str">
        <x:v>Received</x:v>
      </x:c>
      <x:c r="E1" s="12" t="str">
        <x:v>Document Date</x:v>
      </x:c>
      <x:c r="F1" s="12" t="str">
        <x:v>Coverage / Scope</x:v>
      </x:c>
      <x:c r="G1" s="12" t="str">
        <x:v>Analyst Review</x:v>
      </x:c>
      <x:c r="H1" s="12" t="str">
        <x:v>Gap / Follow-up</x:v>
      </x:c>
      <x:c r="I1" s="12" t="str">
        <x:v>Status</x:v>
      </x:c>
      <x:c r="K1" s="55" t="str">
        <x:v>Evidence Simulation Note</x:v>
      </x:c>
      <x:c r="L1" s="55"/>
      <x:c r="M1" s="55"/>
      <x:c r="N1" s="55"/>
      <x:c r="O1" s="55"/>
      <x:c r="R1" s="54" t="str">
        <x:v>FICTIONAL SAMPLE DATA</x:v>
      </x:c>
    </x:row>
    <x:row r="2">
      <x:c r="A2" s="18" t="str">
        <x:v>V-002</x:v>
      </x:c>
      <x:c r="B2" s="18" t="str">
        <x:v>SOC 2 Type II</x:v>
      </x:c>
      <x:c r="C2" s="18" t="str">
        <x:v>Yes</x:v>
      </x:c>
      <x:c r="D2" s="18" t="str">
        <x:v>Yes</x:v>
      </x:c>
      <x:c r="E2" s="22" t="n">
        <x:v>46112</x:v>
      </x:c>
      <x:c r="F2" s="18" t="str">
        <x:v>Security + Availability; period Apr 2025-Mar 2026</x:v>
      </x:c>
      <x:c r="G2" s="18" t="str">
        <x:v>Unqualified opinion; one relevant exception; cloud provider carved out</x:v>
      </x:c>
      <x:c r="H2" s="18" t="str">
        <x:v>Bridge letter needed for current period</x:v>
      </x:c>
      <x:c r="I2" s="18" t="str">
        <x:v>Follow-up</x:v>
      </x:c>
      <x:c r="K2" s="67" t="str">
        <x:v>Artifact names and analyst observations are fictional. No real SOC 2 report, pentest report, certificate, policy, DPA, or vendor document is embedded in this public workbook.</x:v>
      </x:c>
      <x:c r="L2" s="67"/>
      <x:c r="M2" s="67"/>
      <x:c r="N2" s="67"/>
      <x:c r="O2" s="67"/>
    </x:row>
    <x:row r="3">
      <x:c r="A3" s="18" t="str">
        <x:v>V-002</x:v>
      </x:c>
      <x:c r="B3" s="18" t="str">
        <x:v>ISO 27001 Certificate</x:v>
      </x:c>
      <x:c r="C3" s="18" t="str">
        <x:v>Yes</x:v>
      </x:c>
      <x:c r="D3" s="18" t="str">
        <x:v>Yes</x:v>
      </x:c>
      <x:c r="E3" s="22" t="n">
        <x:v>46143</x:v>
      </x:c>
      <x:c r="F3" s="18" t="str">
        <x:v>Production SaaS environment</x:v>
      </x:c>
      <x:c r="G3" s="18" t="str">
        <x:v>Certificate current; scope aligns to service</x:v>
      </x:c>
      <x:c r="H3" s="18" t="str">
        <x:v>Confirm latest Statement of Applicability is available</x:v>
      </x:c>
      <x:c r="I3" s="18" t="str">
        <x:v>Follow-up</x:v>
      </x:c>
      <x:c r="K3" s="67"/>
      <x:c r="L3" s="67"/>
      <x:c r="M3" s="67"/>
      <x:c r="N3" s="67"/>
      <x:c r="O3" s="67"/>
    </x:row>
    <x:row r="4">
      <x:c r="A4" s="18" t="str">
        <x:v>V-002</x:v>
      </x:c>
      <x:c r="B4" s="18" t="str">
        <x:v>Penetration Test Executive Summary</x:v>
      </x:c>
      <x:c r="C4" s="18" t="str">
        <x:v>Yes</x:v>
      </x:c>
      <x:c r="D4" s="18" t="str">
        <x:v>Yes</x:v>
      </x:c>
      <x:c r="E4" s="22" t="n">
        <x:v>46063</x:v>
      </x:c>
      <x:c r="F4" s="18" t="str">
        <x:v>Web app + external infrastructure</x:v>
      </x:c>
      <x:c r="G4" s="18" t="str">
        <x:v>No critical/high; two medium issues open</x:v>
      </x:c>
      <x:c r="H4" s="18" t="str">
        <x:v>Track two medium findings</x:v>
      </x:c>
      <x:c r="I4" s="18" t="str">
        <x:v>Follow-up</x:v>
      </x:c>
      <x:c r="K4" s="67"/>
      <x:c r="L4" s="67"/>
      <x:c r="M4" s="67"/>
      <x:c r="N4" s="67"/>
      <x:c r="O4" s="67"/>
    </x:row>
    <x:row r="5">
      <x:c r="A5" s="18" t="str">
        <x:v>V-002</x:v>
      </x:c>
      <x:c r="B5" s="18" t="str">
        <x:v>BCP / DR Plan</x:v>
      </x:c>
      <x:c r="C5" s="18" t="str">
        <x:v>Yes</x:v>
      </x:c>
      <x:c r="D5" s="18" t="str">
        <x:v>Yes</x:v>
      </x:c>
      <x:c r="E5" s="22" t="n">
        <x:v>46042</x:v>
      </x:c>
      <x:c r="F5" s="18" t="str">
        <x:v>Primary production service</x:v>
      </x:c>
      <x:c r="G5" s="18" t="str">
        <x:v>RTO 4h / RPO 1h documented</x:v>
      </x:c>
      <x:c r="H5" s="18" t="str">
        <x:v>Latest test missed RTO</x:v>
      </x:c>
      <x:c r="I5" s="18" t="str">
        <x:v>Gap</x:v>
      </x:c>
    </x:row>
    <x:row r="6">
      <x:c r="A6" s="18" t="str">
        <x:v>V-002</x:v>
      </x:c>
      <x:c r="B6" s="18" t="str">
        <x:v>DR Test Results</x:v>
      </x:c>
      <x:c r="C6" s="18" t="str">
        <x:v>Yes</x:v>
      </x:c>
      <x:c r="D6" s="18" t="str">
        <x:v>Yes</x:v>
      </x:c>
      <x:c r="E6" s="22" t="n">
        <x:v>46117</x:v>
      </x:c>
      <x:c r="F6" s="18" t="str">
        <x:v>Regional recovery exercise</x:v>
      </x:c>
      <x:c r="G6" s="18" t="str">
        <x:v>Recovery completed in 5.5h</x:v>
      </x:c>
      <x:c r="H6" s="18" t="str">
        <x:v>Require corrective action and retest</x:v>
      </x:c>
      <x:c r="I6" s="18" t="str">
        <x:v>Gap</x:v>
      </x:c>
    </x:row>
    <x:row r="7">
      <x:c r="A7" s="18" t="str">
        <x:v>V-002</x:v>
      </x:c>
      <x:c r="B7" s="18" t="str">
        <x:v>Incident Response Plan</x:v>
      </x:c>
      <x:c r="C7" s="18" t="str">
        <x:v>Yes</x:v>
      </x:c>
      <x:c r="D7" s="18" t="str">
        <x:v>Yes</x:v>
      </x:c>
      <x:c r="E7" s="22" t="n">
        <x:v>46054</x:v>
      </x:c>
      <x:c r="F7" s="18" t="str">
        <x:v>Enterprise</x:v>
      </x:c>
      <x:c r="G7" s="18" t="str">
        <x:v>Plan current; tabletop completed</x:v>
      </x:c>
      <x:c r="H7" s="18" t="str">
        <x:v>Confirm customer notification commitment in contract</x:v>
      </x:c>
      <x:c r="I7" s="18" t="str">
        <x:v>Follow-up</x:v>
      </x:c>
    </x:row>
    <x:row r="8">
      <x:c r="A8" s="18" t="str">
        <x:v>V-002</x:v>
      </x:c>
      <x:c r="B8" s="18" t="str">
        <x:v>Subprocessor List</x:v>
      </x:c>
      <x:c r="C8" s="18" t="str">
        <x:v>Yes</x:v>
      </x:c>
      <x:c r="D8" s="18" t="str">
        <x:v>Yes</x:v>
      </x:c>
      <x:c r="E8" s="22" t="n">
        <x:v>46249</x:v>
      </x:c>
      <x:c r="F8" s="18" t="str">
        <x:v>Hosting, support, observability</x:v>
      </x:c>
      <x:c r="G8" s="18" t="str">
        <x:v>Material subprocessors identified</x:v>
      </x:c>
      <x:c r="H8" s="18" t="str">
        <x:v>Confirm change-notification process</x:v>
      </x:c>
      <x:c r="I8" s="18" t="str">
        <x:v>Complete</x:v>
      </x:c>
    </x:row>
    <x:row r="9">
      <x:c r="A9" s="18" t="str">
        <x:v>V-002</x:v>
      </x:c>
      <x:c r="B9" s="18" t="str">
        <x:v>Data Retention / Deletion Policy</x:v>
      </x:c>
      <x:c r="C9" s="18" t="str">
        <x:v>Yes</x:v>
      </x:c>
      <x:c r="D9" s="18" t="str">
        <x:v>Yes</x:v>
      </x:c>
      <x:c r="E9" s="22" t="n">
        <x:v>46154</x:v>
      </x:c>
      <x:c r="F9" s="18" t="str">
        <x:v>Customer production + backups</x:v>
      </x:c>
      <x:c r="G9" s="18" t="str">
        <x:v>180-day backup retention after termination</x:v>
      </x:c>
      <x:c r="H9" s="18" t="str">
        <x:v>Contractual deletion requirement needs alignment</x:v>
      </x:c>
      <x:c r="I9" s="18" t="str">
        <x:v>Gap</x:v>
      </x:c>
    </x:row>
    <x:row r="10">
      <x:c r="A10" s="18" t="str">
        <x:v>V-002</x:v>
      </x:c>
      <x:c r="B10" s="18" t="str">
        <x:v>Vulnerability Management Policy</x:v>
      </x:c>
      <x:c r="C10" s="18" t="str">
        <x:v>Yes</x:v>
      </x:c>
      <x:c r="D10" s="18" t="str">
        <x:v>Yes</x:v>
      </x:c>
      <x:c r="E10" s="22" t="n">
        <x:v>46065</x:v>
      </x:c>
      <x:c r="F10" s="18" t="str">
        <x:v>Infrastructure + application</x:v>
      </x:c>
      <x:c r="G10" s="18" t="str">
        <x:v>Defined critical/high remediation targets</x:v>
      </x:c>
      <x:c r="H10" s="18" t="str">
        <x:v>Review overdue pentest medium findings</x:v>
      </x:c>
      <x:c r="I10" s="18" t="str">
        <x:v>Follow-up</x:v>
      </x:c>
    </x:row>
    <x:row r="11">
      <x:c r="A11" s="18" t="str">
        <x:v>V-002</x:v>
      </x:c>
      <x:c r="B11" s="18" t="str">
        <x:v>Cyber Insurance Certificate</x:v>
      </x:c>
      <x:c r="C11" s="18" t="str">
        <x:v>Yes</x:v>
      </x:c>
      <x:c r="D11" s="18" t="str">
        <x:v>No</x:v>
      </x:c>
      <x:c r="E11" s="22"/>
      <x:c r="F11" s="18" t="str">
        <x:v>N/A</x:v>
      </x:c>
      <x:c r="G11" s="18" t="str">
        <x:v>Not provided</x:v>
      </x:c>
      <x:c r="H11" s="18" t="str">
        <x:v>Request current certificate</x:v>
      </x:c>
      <x:c r="I11" s="18" t="str">
        <x:v>Open</x:v>
      </x:c>
    </x:row>
    <x:row r="12">
      <x:c r="A12" s="18" t="str">
        <x:v>V-001</x:v>
      </x:c>
      <x:c r="B12" s="18" t="str">
        <x:v>SOC 2 Type II</x:v>
      </x:c>
      <x:c r="C12" s="18" t="str">
        <x:v>Yes</x:v>
      </x:c>
      <x:c r="D12" s="18" t="str">
        <x:v>Yes</x:v>
      </x:c>
      <x:c r="E12" s="22" t="n">
        <x:v>46203</x:v>
      </x:c>
      <x:c r="F12" s="18" t="str">
        <x:v>Security + Confidentiality</x:v>
      </x:c>
      <x:c r="G12" s="18" t="str">
        <x:v>Current report; no material exception identified</x:v>
      </x:c>
      <x:c r="H12" s="18" t="str">
        <x:v>Validate CUECs with HR owner</x:v>
      </x:c>
      <x:c r="I12" s="18" t="str">
        <x:v>Follow-up</x:v>
      </x:c>
    </x:row>
    <x:row r="13">
      <x:c r="A13" s="18" t="str">
        <x:v>V-001</x:v>
      </x:c>
      <x:c r="B13" s="18" t="str">
        <x:v>Privacy / DPA</x:v>
      </x:c>
      <x:c r="C13" s="18" t="str">
        <x:v>Yes</x:v>
      </x:c>
      <x:c r="D13" s="18" t="str">
        <x:v>Yes</x:v>
      </x:c>
      <x:c r="E13" s="22" t="n">
        <x:v>46204</x:v>
      </x:c>
      <x:c r="F13" s="18" t="str">
        <x:v>Employee data</x:v>
      </x:c>
      <x:c r="G13" s="18" t="str">
        <x:v>DPA includes processors and deletion terms</x:v>
      </x:c>
      <x:c r="H13" s="18" t="str">
        <x:v>Backup deletion evidence requested</x:v>
      </x:c>
      <x:c r="I13" s="18" t="str">
        <x:v>Gap</x:v>
      </x:c>
    </x:row>
    <x:row r="14">
      <x:c r="A14" s="18"/>
      <x:c r="B14" s="18"/>
      <x:c r="C14" s="18"/>
      <x:c r="D14" s="18"/>
      <x:c r="E14" s="22"/>
      <x:c r="F14" s="18"/>
      <x:c r="G14" s="18"/>
      <x:c r="H14" s="18"/>
      <x:c r="I14" s="18"/>
    </x:row>
    <x:row r="15">
      <x:c r="A15" s="18"/>
      <x:c r="B15" s="18"/>
      <x:c r="C15" s="18"/>
      <x:c r="D15" s="18"/>
      <x:c r="E15" s="22"/>
      <x:c r="F15" s="18"/>
      <x:c r="G15" s="18"/>
      <x:c r="H15" s="18"/>
      <x:c r="I15" s="18"/>
    </x:row>
    <x:row r="16">
      <x:c r="A16" s="18"/>
      <x:c r="B16" s="18"/>
      <x:c r="C16" s="18"/>
      <x:c r="D16" s="18"/>
      <x:c r="E16" s="22"/>
      <x:c r="F16" s="18"/>
      <x:c r="G16" s="18"/>
      <x:c r="H16" s="18"/>
      <x:c r="I16" s="18"/>
    </x:row>
    <x:row r="17">
      <x:c r="A17" s="18"/>
      <x:c r="B17" s="18"/>
      <x:c r="C17" s="18"/>
      <x:c r="D17" s="18"/>
      <x:c r="E17" s="22"/>
      <x:c r="F17" s="18"/>
      <x:c r="G17" s="18"/>
      <x:c r="H17" s="18"/>
      <x:c r="I17" s="18"/>
    </x:row>
    <x:row r="18">
      <x:c r="A18" s="18"/>
      <x:c r="B18" s="18"/>
      <x:c r="C18" s="18"/>
      <x:c r="D18" s="18"/>
      <x:c r="E18" s="22"/>
      <x:c r="F18" s="18"/>
      <x:c r="G18" s="18"/>
      <x:c r="H18" s="18"/>
      <x:c r="I18" s="18"/>
    </x:row>
    <x:row r="19">
      <x:c r="A19" s="18"/>
      <x:c r="B19" s="18"/>
      <x:c r="C19" s="18"/>
      <x:c r="D19" s="18"/>
      <x:c r="E19" s="22"/>
      <x:c r="F19" s="18"/>
      <x:c r="G19" s="18"/>
      <x:c r="H19" s="18"/>
      <x:c r="I19" s="18"/>
    </x:row>
    <x:row r="20">
      <x:c r="A20" s="18"/>
      <x:c r="B20" s="18"/>
      <x:c r="C20" s="18"/>
      <x:c r="D20" s="18"/>
      <x:c r="E20" s="22"/>
      <x:c r="F20" s="18"/>
      <x:c r="G20" s="18"/>
      <x:c r="H20" s="18"/>
      <x:c r="I20" s="18"/>
    </x:row>
    <x:row r="21">
      <x:c r="A21" s="18"/>
      <x:c r="B21" s="18"/>
      <x:c r="C21" s="18"/>
      <x:c r="D21" s="18"/>
      <x:c r="E21" s="22"/>
      <x:c r="F21" s="18"/>
      <x:c r="G21" s="18"/>
      <x:c r="H21" s="18"/>
      <x:c r="I21" s="18"/>
    </x:row>
    <x:row r="22">
      <x:c r="A22" s="18"/>
      <x:c r="B22" s="18"/>
      <x:c r="C22" s="18"/>
      <x:c r="D22" s="18"/>
      <x:c r="E22" s="22"/>
      <x:c r="F22" s="18"/>
      <x:c r="G22" s="18"/>
      <x:c r="H22" s="18"/>
      <x:c r="I22" s="18"/>
    </x:row>
    <x:row r="23">
      <x:c r="A23" s="18"/>
      <x:c r="B23" s="18"/>
      <x:c r="C23" s="18"/>
      <x:c r="D23" s="18"/>
      <x:c r="E23" s="22"/>
      <x:c r="F23" s="18"/>
      <x:c r="G23" s="18"/>
      <x:c r="H23" s="18"/>
      <x:c r="I23" s="18"/>
    </x:row>
    <x:row r="24">
      <x:c r="A24" s="18"/>
      <x:c r="B24" s="18"/>
      <x:c r="C24" s="18"/>
      <x:c r="D24" s="18"/>
      <x:c r="E24" s="22"/>
      <x:c r="F24" s="18"/>
      <x:c r="G24" s="18"/>
      <x:c r="H24" s="18"/>
      <x:c r="I24" s="18"/>
    </x:row>
    <x:row r="25">
      <x:c r="A25" s="18"/>
      <x:c r="B25" s="18"/>
      <x:c r="C25" s="18"/>
      <x:c r="D25" s="18"/>
      <x:c r="E25" s="22"/>
      <x:c r="F25" s="18"/>
      <x:c r="G25" s="18"/>
      <x:c r="H25" s="18"/>
      <x:c r="I25" s="18"/>
    </x:row>
    <x:row r="26">
      <x:c r="A26" s="18"/>
      <x:c r="B26" s="18"/>
      <x:c r="C26" s="18"/>
      <x:c r="D26" s="18"/>
      <x:c r="E26" s="22"/>
      <x:c r="F26" s="18"/>
      <x:c r="G26" s="18"/>
      <x:c r="H26" s="18"/>
      <x:c r="I26" s="18"/>
    </x:row>
    <x:row r="27">
      <x:c r="A27" s="18"/>
      <x:c r="B27" s="18"/>
      <x:c r="C27" s="18"/>
      <x:c r="D27" s="18"/>
      <x:c r="E27" s="22"/>
      <x:c r="F27" s="18"/>
      <x:c r="G27" s="18"/>
      <x:c r="H27" s="18"/>
      <x:c r="I27" s="18"/>
    </x:row>
    <x:row r="28">
      <x:c r="A28" s="18"/>
      <x:c r="B28" s="18"/>
      <x:c r="C28" s="18"/>
      <x:c r="D28" s="18"/>
      <x:c r="E28" s="22"/>
      <x:c r="F28" s="18"/>
      <x:c r="G28" s="18"/>
      <x:c r="H28" s="18"/>
      <x:c r="I28" s="18"/>
    </x:row>
    <x:row r="29">
      <x:c r="A29" s="18"/>
      <x:c r="B29" s="18"/>
      <x:c r="C29" s="18"/>
      <x:c r="D29" s="18"/>
      <x:c r="E29" s="22"/>
      <x:c r="F29" s="18"/>
      <x:c r="G29" s="18"/>
      <x:c r="H29" s="18"/>
      <x:c r="I29" s="18"/>
    </x:row>
    <x:row r="30">
      <x:c r="A30" s="18"/>
      <x:c r="B30" s="18"/>
      <x:c r="C30" s="18"/>
      <x:c r="D30" s="18"/>
      <x:c r="E30" s="22"/>
      <x:c r="F30" s="18"/>
      <x:c r="G30" s="18"/>
      <x:c r="H30" s="18"/>
      <x:c r="I30" s="18"/>
    </x:row>
    <x:row r="31">
      <x:c r="A31" s="18"/>
      <x:c r="B31" s="18"/>
      <x:c r="C31" s="18"/>
      <x:c r="D31" s="18"/>
      <x:c r="E31" s="22"/>
      <x:c r="F31" s="18"/>
      <x:c r="G31" s="18"/>
      <x:c r="H31" s="18"/>
      <x:c r="I31" s="18"/>
    </x:row>
    <x:row r="32">
      <x:c r="A32" s="18"/>
      <x:c r="B32" s="18"/>
      <x:c r="C32" s="18"/>
      <x:c r="D32" s="18"/>
      <x:c r="E32" s="22"/>
      <x:c r="F32" s="18"/>
      <x:c r="G32" s="18"/>
      <x:c r="H32" s="18"/>
      <x:c r="I32" s="18"/>
    </x:row>
    <x:row r="33">
      <x:c r="A33" s="18"/>
      <x:c r="B33" s="18"/>
      <x:c r="C33" s="18"/>
      <x:c r="D33" s="18"/>
      <x:c r="E33" s="22"/>
      <x:c r="F33" s="18"/>
      <x:c r="G33" s="18"/>
      <x:c r="H33" s="18"/>
      <x:c r="I33" s="18"/>
    </x:row>
    <x:row r="34">
      <x:c r="A34" s="18"/>
      <x:c r="B34" s="18"/>
      <x:c r="C34" s="18"/>
      <x:c r="D34" s="18"/>
      <x:c r="E34" s="22"/>
      <x:c r="F34" s="18"/>
      <x:c r="G34" s="18"/>
      <x:c r="H34" s="18"/>
      <x:c r="I34" s="18"/>
    </x:row>
    <x:row r="35">
      <x:c r="A35" s="18"/>
      <x:c r="B35" s="18"/>
      <x:c r="C35" s="18"/>
      <x:c r="D35" s="18"/>
      <x:c r="E35" s="22"/>
      <x:c r="F35" s="18"/>
      <x:c r="G35" s="18"/>
      <x:c r="H35" s="18"/>
      <x:c r="I35" s="18"/>
    </x:row>
    <x:row r="36">
      <x:c r="A36" s="18"/>
      <x:c r="B36" s="18"/>
      <x:c r="C36" s="18"/>
      <x:c r="D36" s="18"/>
      <x:c r="E36" s="22"/>
      <x:c r="F36" s="18"/>
      <x:c r="G36" s="18"/>
      <x:c r="H36" s="18"/>
      <x:c r="I36" s="18"/>
    </x:row>
    <x:row r="37">
      <x:c r="A37" s="18"/>
      <x:c r="B37" s="18"/>
      <x:c r="C37" s="18"/>
      <x:c r="D37" s="18"/>
      <x:c r="E37" s="22"/>
      <x:c r="F37" s="18"/>
      <x:c r="G37" s="18"/>
      <x:c r="H37" s="18"/>
      <x:c r="I37" s="18"/>
    </x:row>
    <x:row r="38">
      <x:c r="A38" s="18"/>
      <x:c r="B38" s="18"/>
      <x:c r="C38" s="18"/>
      <x:c r="D38" s="18"/>
      <x:c r="E38" s="22"/>
      <x:c r="F38" s="18"/>
      <x:c r="G38" s="18"/>
      <x:c r="H38" s="18"/>
      <x:c r="I38" s="18"/>
    </x:row>
    <x:row r="39">
      <x:c r="A39" s="18"/>
      <x:c r="B39" s="18"/>
      <x:c r="C39" s="18"/>
      <x:c r="D39" s="18"/>
      <x:c r="E39" s="22"/>
      <x:c r="F39" s="18"/>
      <x:c r="G39" s="18"/>
      <x:c r="H39" s="18"/>
      <x:c r="I39" s="18"/>
    </x:row>
    <x:row r="40">
      <x:c r="A40" s="18"/>
      <x:c r="B40" s="18"/>
      <x:c r="C40" s="18"/>
      <x:c r="D40" s="18"/>
      <x:c r="E40" s="22"/>
      <x:c r="F40" s="18"/>
      <x:c r="G40" s="18"/>
      <x:c r="H40" s="18"/>
      <x:c r="I40" s="18"/>
    </x:row>
    <x:row r="41">
      <x:c r="E41" s="20"/>
    </x:row>
    <x:row r="42">
      <x:c r="E42" s="20"/>
    </x:row>
    <x:row r="43">
      <x:c r="E43" s="20"/>
    </x:row>
    <x:row r="44">
      <x:c r="E44" s="20"/>
    </x:row>
    <x:row r="45">
      <x:c r="E45" s="20"/>
    </x:row>
    <x:row r="46">
      <x:c r="E46" s="20"/>
    </x:row>
    <x:row r="47">
      <x:c r="E47" s="20"/>
    </x:row>
    <x:row r="48">
      <x:c r="E48" s="20"/>
    </x:row>
    <x:row r="49">
      <x:c r="E49" s="20"/>
    </x:row>
    <x:row r="50">
      <x:c r="E50" s="20"/>
    </x:row>
    <x:row r="51">
      <x:c r="E51" s="20"/>
    </x:row>
    <x:row r="52">
      <x:c r="E52" s="20"/>
    </x:row>
    <x:row r="53">
      <x:c r="E53" s="20"/>
    </x:row>
    <x:row r="54">
      <x:c r="E54" s="20"/>
    </x:row>
    <x:row r="55">
      <x:c r="E55" s="20"/>
    </x:row>
    <x:row r="56">
      <x:c r="E56" s="20"/>
    </x:row>
    <x:row r="57">
      <x:c r="E57" s="20"/>
    </x:row>
    <x:row r="58">
      <x:c r="E58" s="20"/>
    </x:row>
    <x:row r="59">
      <x:c r="E59" s="20"/>
    </x:row>
    <x:row r="60">
      <x:c r="E60" s="20"/>
    </x:row>
    <x:row r="61">
      <x:c r="E61" s="20"/>
    </x:row>
    <x:row r="62">
      <x:c r="E62" s="20"/>
    </x:row>
    <x:row r="63">
      <x:c r="E63" s="20"/>
    </x:row>
    <x:row r="64">
      <x:c r="E64" s="20"/>
    </x:row>
    <x:row r="65">
      <x:c r="E65" s="20"/>
    </x:row>
    <x:row r="66">
      <x:c r="E66" s="20"/>
    </x:row>
    <x:row r="67">
      <x:c r="E67" s="20"/>
    </x:row>
    <x:row r="68">
      <x:c r="E68" s="20"/>
    </x:row>
    <x:row r="69">
      <x:c r="E69" s="20"/>
    </x:row>
    <x:row r="70">
      <x:c r="E70" s="20"/>
    </x:row>
    <x:row r="71">
      <x:c r="E71" s="20"/>
    </x:row>
    <x:row r="72">
      <x:c r="E72" s="20"/>
    </x:row>
    <x:row r="73">
      <x:c r="E73" s="20"/>
    </x:row>
    <x:row r="74">
      <x:c r="E74" s="20"/>
    </x:row>
    <x:row r="75">
      <x:c r="E75" s="20"/>
    </x:row>
    <x:row r="76">
      <x:c r="E76" s="20"/>
    </x:row>
    <x:row r="77">
      <x:c r="E77" s="20"/>
    </x:row>
    <x:row r="78">
      <x:c r="E78" s="20"/>
    </x:row>
    <x:row r="79">
      <x:c r="E79" s="20"/>
    </x:row>
    <x:row r="80">
      <x:c r="E80" s="20"/>
    </x:row>
    <x:row r="81">
      <x:c r="E81" s="20"/>
    </x:row>
    <x:row r="82">
      <x:c r="E82" s="20"/>
    </x:row>
    <x:row r="83">
      <x:c r="E83" s="20"/>
    </x:row>
    <x:row r="84">
      <x:c r="E84" s="20"/>
    </x:row>
    <x:row r="85">
      <x:c r="E85" s="20"/>
    </x:row>
    <x:row r="86">
      <x:c r="E86" s="20"/>
    </x:row>
    <x:row r="87">
      <x:c r="E87" s="20"/>
    </x:row>
    <x:row r="88">
      <x:c r="E88" s="20"/>
    </x:row>
    <x:row r="89">
      <x:c r="E89" s="20"/>
    </x:row>
    <x:row r="90">
      <x:c r="E90" s="20"/>
    </x:row>
    <x:row r="91">
      <x:c r="E91" s="20"/>
    </x:row>
    <x:row r="92">
      <x:c r="E92" s="20"/>
    </x:row>
    <x:row r="93">
      <x:c r="E93" s="20"/>
    </x:row>
    <x:row r="94">
      <x:c r="E94" s="20"/>
    </x:row>
    <x:row r="95">
      <x:c r="E95" s="20"/>
    </x:row>
    <x:row r="96">
      <x:c r="E96" s="20"/>
    </x:row>
    <x:row r="97">
      <x:c r="E97" s="20"/>
    </x:row>
    <x:row r="98">
      <x:c r="E98" s="20"/>
    </x:row>
    <x:row r="99">
      <x:c r="E99" s="20"/>
    </x:row>
    <x:row r="100">
      <x:c r="E100" s="20"/>
    </x:row>
  </x:sheetData>
  <x:mergeCells>
    <x:mergeCell ref="K1:O1"/>
    <x:mergeCell ref="K2:O4"/>
  </x:mergeCells>
  <x:conditionalFormatting sqref="I2:I100">
    <x:cfRule type="expression" dxfId="5" priority="1">
      <x:formula>$I2="Gap"</x:formula>
    </x:cfRule>
    <x:cfRule type="expression" dxfId="6" priority="2">
      <x:formula>$I2="Follow-up"</x:formula>
    </x:cfRule>
    <x:cfRule type="expression" dxfId="7" priority="3">
      <x:formula>$I2="Complete"</x:formula>
    </x:cfRule>
  </x:conditionalFormatting>
  <x:dataValidations count="2">
    <x:dataValidation type="list" sqref="C2:D100">
      <x:formula1>"Yes,No,N/A"</x:formula1>
    </x:dataValidation>
    <x:dataValidation type="list" sqref="I2:I100">
      <x:formula1>"Complete,Follow-up,Gap,Open,N/A"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45" hidden="0" customWidth="1"/>
    <x:col min="4" max="4" width="45" hidden="0" customWidth="1"/>
    <x:col min="5" max="5" width="45" hidden="0" customWidth="1"/>
    <x:col min="6" max="6" width="14" hidden="0" customWidth="1"/>
    <x:col min="18" max="18" width="22" hidden="0" customWidth="1"/>
  </x:cols>
  <x:sheetData>
    <x:row r="1">
      <x:c r="A1" s="12" t="str">
        <x:v>Vendor ID</x:v>
      </x:c>
      <x:c r="B1" s="12" t="str">
        <x:v>Review Area</x:v>
      </x:c>
      <x:c r="C1" s="12" t="str">
        <x:v>What to Check</x:v>
      </x:c>
      <x:c r="D1" s="12" t="str">
        <x:v>Analyst Observation</x:v>
      </x:c>
      <x:c r="E1" s="12" t="str">
        <x:v>Risk / Follow-up</x:v>
      </x:c>
      <x:c r="F1" s="12" t="str">
        <x:v>Status</x:v>
      </x:c>
      <x:c r="R1" s="54" t="str">
        <x:v>FICTIONAL SAMPLE DATA</x:v>
      </x:c>
    </x:row>
    <x:row r="2">
      <x:c r="A2" s="18" t="str">
        <x:v>V-002</x:v>
      </x:c>
      <x:c r="B2" s="18" t="str">
        <x:v>Report Type</x:v>
      </x:c>
      <x:c r="C2" s="18" t="str">
        <x:v>Type II preferred for operating effectiveness</x:v>
      </x:c>
      <x:c r="D2" s="18" t="str">
        <x:v>Type II</x:v>
      </x:c>
      <x:c r="E2" s="18" t="str">
        <x:v>None</x:v>
      </x:c>
      <x:c r="F2" s="18" t="str">
        <x:v>Complete</x:v>
      </x:c>
    </x:row>
    <x:row r="3">
      <x:c r="A3" s="18" t="str">
        <x:v>V-002</x:v>
      </x:c>
      <x:c r="B3" s="18" t="str">
        <x:v>Audit Period</x:v>
      </x:c>
      <x:c r="C3" s="18" t="str">
        <x:v>Is the period recent enough for onboarding?</x:v>
      </x:c>
      <x:c r="D3" s="18" t="str">
        <x:v>Apr 1 2025 - Mar 31 2026</x:v>
      </x:c>
      <x:c r="E3" s="18" t="str">
        <x:v>Obtain bridge letter through onboarding date</x:v>
      </x:c>
      <x:c r="F3" s="18" t="str">
        <x:v>Follow-up</x:v>
      </x:c>
    </x:row>
    <x:row r="4">
      <x:c r="A4" s="18" t="str">
        <x:v>V-002</x:v>
      </x:c>
      <x:c r="B4" s="18" t="str">
        <x:v>Auditor Opinion</x:v>
      </x:c>
      <x:c r="C4" s="18" t="str">
        <x:v>Qualified, adverse, disclaimer, or unqualified?</x:v>
      </x:c>
      <x:c r="D4" s="18" t="str">
        <x:v>Unqualified</x:v>
      </x:c>
      <x:c r="E4" s="18" t="str">
        <x:v>None</x:v>
      </x:c>
      <x:c r="F4" s="18" t="str">
        <x:v>Complete</x:v>
      </x:c>
    </x:row>
    <x:row r="5">
      <x:c r="A5" s="18" t="str">
        <x:v>V-002</x:v>
      </x:c>
      <x:c r="B5" s="18" t="str">
        <x:v>Scope</x:v>
      </x:c>
      <x:c r="C5" s="18" t="str">
        <x:v>Does report cover the service/data/environment you will use?</x:v>
      </x:c>
      <x:c r="D5" s="18" t="str">
        <x:v>Security + Availability; production SaaS included</x:v>
      </x:c>
      <x:c r="E5" s="18" t="str">
        <x:v>Confidentiality not in scope; validate via other evidence</x:v>
      </x:c>
      <x:c r="F5" s="18" t="str">
        <x:v>Follow-up</x:v>
      </x:c>
    </x:row>
    <x:row r="6">
      <x:c r="A6" s="18" t="str">
        <x:v>V-002</x:v>
      </x:c>
      <x:c r="B6" s="18" t="str">
        <x:v>Exceptions</x:v>
      </x:c>
      <x:c r="C6" s="18" t="str">
        <x:v>Are exceptions relevant to your intended use?</x:v>
      </x:c>
      <x:c r="D6" s="18" t="str">
        <x:v>One delayed quarterly access review</x:v>
      </x:c>
      <x:c r="E6" s="18" t="str">
        <x:v>Confirm remediation completed</x:v>
      </x:c>
      <x:c r="F6" s="18" t="str">
        <x:v>Follow-up</x:v>
      </x:c>
    </x:row>
    <x:row r="7">
      <x:c r="A7" s="18" t="str">
        <x:v>V-002</x:v>
      </x:c>
      <x:c r="B7" s="18" t="str">
        <x:v>CUECs</x:v>
      </x:c>
      <x:c r="C7" s="18" t="str">
        <x:v>Controls the customer must operate</x:v>
      </x:c>
      <x:c r="D7" s="18" t="str">
        <x:v>MFA/SSO configuration, user provisioning, secure API-token storage</x:v>
      </x:c>
      <x:c r="E7" s="18" t="str">
        <x:v>Assign each CUEC to internal owner before approval</x:v>
      </x:c>
      <x:c r="F7" s="18" t="str">
        <x:v>Open</x:v>
      </x:c>
    </x:row>
    <x:row r="8">
      <x:c r="A8" s="18" t="str">
        <x:v>V-002</x:v>
      </x:c>
      <x:c r="B8" s="18" t="str">
        <x:v>Subservice Organizations</x:v>
      </x:c>
      <x:c r="C8" s="18" t="str">
        <x:v>Key fourth parties and audit method</x:v>
      </x:c>
      <x:c r="D8" s="18" t="str">
        <x:v>Cloud hosting carved out</x:v>
      </x:c>
      <x:c r="E8" s="18" t="str">
        <x:v>Review cloud-provider assurance separately</x:v>
      </x:c>
      <x:c r="F8" s="18" t="str">
        <x:v>Follow-up</x:v>
      </x:c>
    </x:row>
    <x:row r="9">
      <x:c r="A9" s="18" t="str">
        <x:v>V-002</x:v>
      </x:c>
      <x:c r="B9" s="18" t="str">
        <x:v>Complementary Subservice Controls</x:v>
      </x:c>
      <x:c r="C9" s="18" t="str">
        <x:v>Controls expected at subservice providers</x:v>
      </x:c>
      <x:c r="D9" s="18" t="str">
        <x:v>Hosting security inherited</x:v>
      </x:c>
      <x:c r="E9" s="18" t="str">
        <x:v>Validate relevant assurance where needed</x:v>
      </x:c>
      <x:c r="F9" s="18" t="str">
        <x:v>Follow-up</x:v>
      </x:c>
    </x:row>
    <x:row r="10">
      <x:c r="A10" s="18" t="str">
        <x:v>V-002</x:v>
      </x:c>
      <x:c r="B10" s="18" t="str">
        <x:v>Significant Changes</x:v>
      </x:c>
      <x:c r="C10" s="18" t="str">
        <x:v>Material changes after report period</x:v>
      </x:c>
      <x:c r="D10" s="18" t="str">
        <x:v>No material changes stated</x:v>
      </x:c>
      <x:c r="E10" s="18" t="str">
        <x:v>Reconfirm via bridge letter</x:v>
      </x:c>
      <x:c r="F10" s="18" t="str">
        <x:v>Follow-up</x:v>
      </x:c>
    </x:row>
    <x:row r="11">
      <x:c r="A11" s="18"/>
      <x:c r="B11" s="18"/>
      <x:c r="C11" s="18"/>
      <x:c r="D11" s="18"/>
      <x:c r="E11" s="18"/>
      <x:c r="F11" s="18"/>
    </x:row>
    <x:row r="12">
      <x:c r="A12" s="18"/>
      <x:c r="B12" s="18"/>
      <x:c r="C12" s="18"/>
      <x:c r="D12" s="18"/>
      <x:c r="E12" s="18"/>
      <x:c r="F12" s="18"/>
    </x:row>
    <x:row r="13">
      <x:c r="A13" s="18"/>
      <x:c r="B13" s="18"/>
      <x:c r="C13" s="18"/>
      <x:c r="D13" s="18"/>
      <x:c r="E13" s="18"/>
      <x:c r="F13" s="18"/>
    </x:row>
    <x:row r="14">
      <x:c r="A14" s="18"/>
      <x:c r="B14" s="18"/>
      <x:c r="C14" s="18"/>
      <x:c r="D14" s="18"/>
      <x:c r="E14" s="18"/>
      <x:c r="F14" s="18"/>
    </x:row>
    <x:row r="15">
      <x:c r="A15" s="18"/>
      <x:c r="B15" s="18"/>
      <x:c r="C15" s="18"/>
      <x:c r="D15" s="18"/>
      <x:c r="E15" s="18"/>
      <x:c r="F15" s="18"/>
    </x:row>
    <x:row r="16">
      <x:c r="A16" s="18"/>
      <x:c r="B16" s="18"/>
      <x:c r="C16" s="18"/>
      <x:c r="D16" s="18"/>
      <x:c r="E16" s="18"/>
      <x:c r="F16" s="18"/>
    </x:row>
    <x:row r="17">
      <x:c r="A17" s="18"/>
      <x:c r="B17" s="18"/>
      <x:c r="C17" s="18"/>
      <x:c r="D17" s="18"/>
      <x:c r="E17" s="18"/>
      <x:c r="F17" s="18"/>
    </x:row>
    <x:row r="18">
      <x:c r="A18" s="18"/>
      <x:c r="B18" s="18"/>
      <x:c r="C18" s="18"/>
      <x:c r="D18" s="18"/>
      <x:c r="E18" s="18"/>
      <x:c r="F18" s="18"/>
    </x:row>
    <x:row r="19">
      <x:c r="A19" s="18"/>
      <x:c r="B19" s="18"/>
      <x:c r="C19" s="18"/>
      <x:c r="D19" s="18"/>
      <x:c r="E19" s="18"/>
      <x:c r="F19" s="18"/>
    </x:row>
    <x:row r="20">
      <x:c r="A20" s="18"/>
      <x:c r="B20" s="18"/>
      <x:c r="C20" s="18"/>
      <x:c r="D20" s="18"/>
      <x:c r="E20" s="18"/>
      <x:c r="F20" s="18"/>
    </x:row>
  </x:sheetData>
  <x:dataValidations count="1">
    <x:dataValidation type="list" sqref="F2:F100">
      <x:formula1>"Complete,Follow-up,Open,Gap"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58" hidden="0" customWidth="1"/>
    <x:col min="5" max="5" width="14" hidden="0" customWidth="1"/>
    <x:col min="6" max="6" width="12" hidden="0" customWidth="1"/>
    <x:col min="7" max="7" width="14" hidden="0" customWidth="1"/>
    <x:col min="8" max="8" width="40" hidden="0" customWidth="1"/>
    <x:col min="9" max="9" width="16" hidden="0" customWidth="1"/>
    <x:col min="10" max="10" width="14" hidden="0" customWidth="1"/>
    <x:col min="11" max="11" width="16" hidden="0" customWidth="1"/>
    <x:col min="12" max="12" width="14" hidden="0" customWidth="1"/>
    <x:col min="13" max="13" width="20" hidden="0" customWidth="1"/>
    <x:col min="14" max="14" width="14" hidden="0" customWidth="1"/>
    <x:col min="15" max="15" width="14" hidden="0" customWidth="1"/>
    <x:col min="18" max="18" width="22" hidden="0" customWidth="1"/>
  </x:cols>
  <x:sheetData>
    <x:row r="1">
      <x:c r="A1" s="12" t="str">
        <x:v>Risk ID</x:v>
      </x:c>
      <x:c r="B1" s="12" t="str">
        <x:v>Vendor ID</x:v>
      </x:c>
      <x:c r="C1" s="12" t="str">
        <x:v>Domain</x:v>
      </x:c>
      <x:c r="D1" s="12" t="str">
        <x:v>Risk Statement</x:v>
      </x:c>
      <x:c r="E1" s="12" t="str">
        <x:v>Likelihood (1-5)</x:v>
      </x:c>
      <x:c r="F1" s="12" t="str">
        <x:v>Impact (1-5)</x:v>
      </x:c>
      <x:c r="G1" s="12" t="str">
        <x:v>Inherent Score</x:v>
      </x:c>
      <x:c r="H1" s="12" t="str">
        <x:v>Existing / Compensating Controls</x:v>
      </x:c>
      <x:c r="I1" s="12" t="str">
        <x:v>Control Effectiveness %</x:v>
      </x:c>
      <x:c r="J1" s="12" t="str">
        <x:v>Residual Score</x:v>
      </x:c>
      <x:c r="K1" s="12" t="str">
        <x:v>Residual Rating</x:v>
      </x:c>
      <x:c r="L1" s="12" t="str">
        <x:v>Treatment</x:v>
      </x:c>
      <x:c r="M1" s="12" t="str">
        <x:v>Risk Owner</x:v>
      </x:c>
      <x:c r="N1" s="12" t="str">
        <x:v>Target Date</x:v>
      </x:c>
      <x:c r="O1" s="12" t="str">
        <x:v>Status</x:v>
      </x:c>
      <x:c r="R1" s="54" t="str">
        <x:v>FICTIONAL SAMPLE DATA</x:v>
      </x:c>
    </x:row>
    <x:row r="2">
      <x:c r="A2" s="18" t="str">
        <x:v>R-001</x:v>
      </x:c>
      <x:c r="B2" s="18" t="str">
        <x:v>V-002</x:v>
      </x:c>
      <x:c r="C2" s="18" t="str">
        <x:v>IAM</x:v>
      </x:c>
      <x:c r="D2" s="18" t="str">
        <x:v>Legacy break-glass accounts are not protected by enforced MFA, increasing account-compromise risk.</x:v>
      </x:c>
      <x:c r="E2" s="18" t="n">
        <x:v>4</x:v>
      </x:c>
      <x:c r="F2" s="18" t="n">
        <x:v>5</x:v>
      </x:c>
      <x:c r="G2" s="18" t="n">
        <x:f>E2*F2</x:f>
        <x:v>20</x:v>
      </x:c>
      <x:c r="H2" s="18" t="str">
        <x:v>Restricted use; alerting on break-glass access</x:v>
      </x:c>
      <x:c r="I2" s="26" t="n">
        <x:v>0.35</x:v>
      </x:c>
      <x:c r="J2" s="18" t="n">
        <x:f>MAX(1,ROUND(G2*(1-I2),0))</x:f>
        <x:v>13</x:v>
      </x:c>
      <x:c r="K2" s="18" t="str">
        <x:f>IF(J2&gt;=16,"Critical",IF(J2&gt;=10,"High",IF(J2&gt;=5,"Medium","Low")))</x:f>
        <x:v>High</x:v>
      </x:c>
      <x:c r="L2" s="18" t="str">
        <x:v>Mitigate</x:v>
      </x:c>
      <x:c r="M2" s="18" t="str">
        <x:v>Security</x:v>
      </x:c>
      <x:c r="N2" s="22" t="n">
        <x:v>46310</x:v>
      </x:c>
      <x:c r="O2" s="18" t="str">
        <x:v>Open</x:v>
      </x:c>
    </x:row>
    <x:row r="3">
      <x:c r="A3" s="18" t="str">
        <x:v>R-002</x:v>
      </x:c>
      <x:c r="B3" s="18" t="str">
        <x:v>V-002</x:v>
      </x:c>
      <x:c r="C3" s="18" t="str">
        <x:v>IAM</x:v>
      </x:c>
      <x:c r="D3" s="18" t="str">
        <x:v>Service-account secrets rotate annually, increasing exposure if credentials are compromised.</x:v>
      </x:c>
      <x:c r="E3" s="18" t="n">
        <x:v>3</x:v>
      </x:c>
      <x:c r="F3" s="18" t="n">
        <x:v>4</x:v>
      </x:c>
      <x:c r="G3" s="18" t="n">
        <x:f>E3*F3</x:f>
        <x:v>12</x:v>
      </x:c>
      <x:c r="H3" s="18" t="str">
        <x:v>Vault storage; scoped permissions</x:v>
      </x:c>
      <x:c r="I3" s="26" t="n">
        <x:v>0.4</x:v>
      </x:c>
      <x:c r="J3" s="18" t="n">
        <x:f>MAX(1,ROUND(G3*(1-I3),0))</x:f>
        <x:v>7</x:v>
      </x:c>
      <x:c r="K3" s="18" t="str">
        <x:f>IF(J3&gt;=16,"Critical",IF(J3&gt;=10,"High",IF(J3&gt;=5,"Medium","Low")))</x:f>
        <x:v>Medium</x:v>
      </x:c>
      <x:c r="L3" s="18" t="str">
        <x:v>Mitigate</x:v>
      </x:c>
      <x:c r="M3" s="18" t="str">
        <x:v>Data Engineering</x:v>
      </x:c>
      <x:c r="N3" s="22" t="n">
        <x:v>46327</x:v>
      </x:c>
      <x:c r="O3" s="18" t="str">
        <x:v>In Progress</x:v>
      </x:c>
    </x:row>
    <x:row r="4">
      <x:c r="A4" s="18" t="str">
        <x:v>R-003</x:v>
      </x:c>
      <x:c r="B4" s="18" t="str">
        <x:v>V-002</x:v>
      </x:c>
      <x:c r="C4" s="18" t="str">
        <x:v>Data Retention</x:v>
      </x:c>
      <x:c r="D4" s="18" t="str">
        <x:v>Backups may retain customer data for 180 days after termination, creating retention and deletion risk.</x:v>
      </x:c>
      <x:c r="E4" s="18" t="n">
        <x:v>3</x:v>
      </x:c>
      <x:c r="F4" s="18" t="n">
        <x:v>4</x:v>
      </x:c>
      <x:c r="G4" s="18" t="n">
        <x:f>E4*F4</x:f>
        <x:v>12</x:v>
      </x:c>
      <x:c r="H4" s="18" t="str">
        <x:v>Encryption; restricted backup access</x:v>
      </x:c>
      <x:c r="I4" s="26" t="n">
        <x:v>0.35</x:v>
      </x:c>
      <x:c r="J4" s="18" t="n">
        <x:f>MAX(1,ROUND(G4*(1-I4),0))</x:f>
        <x:v>8</x:v>
      </x:c>
      <x:c r="K4" s="18" t="str">
        <x:f>IF(J4&gt;=16,"Critical",IF(J4&gt;=10,"High",IF(J4&gt;=5,"Medium","Low")))</x:f>
        <x:v>Medium</x:v>
      </x:c>
      <x:c r="L4" s="18" t="str">
        <x:v>Mitigate</x:v>
      </x:c>
      <x:c r="M4" s="18" t="str">
        <x:v>Privacy</x:v>
      </x:c>
      <x:c r="N4" s="22" t="n">
        <x:v>46341</x:v>
      </x:c>
      <x:c r="O4" s="18" t="str">
        <x:v>Open</x:v>
      </x:c>
    </x:row>
    <x:row r="5">
      <x:c r="A5" s="18" t="str">
        <x:v>R-004</x:v>
      </x:c>
      <x:c r="B5" s="18" t="str">
        <x:v>V-002</x:v>
      </x:c>
      <x:c r="C5" s="18" t="str">
        <x:v>Secure SDLC</x:v>
      </x:c>
      <x:c r="D5" s="18" t="str">
        <x:v>High vulnerabilities may be released with engineering-only approval, creating inconsistent security risk acceptance.</x:v>
      </x:c>
      <x:c r="E5" s="18" t="n">
        <x:v>4</x:v>
      </x:c>
      <x:c r="F5" s="18" t="n">
        <x:v>5</x:v>
      </x:c>
      <x:c r="G5" s="18" t="n">
        <x:f>E5*F5</x:f>
        <x:v>20</x:v>
      </x:c>
      <x:c r="H5" s="18" t="str">
        <x:v>CI security scans; engineering review</x:v>
      </x:c>
      <x:c r="I5" s="26" t="n">
        <x:v>0.3</x:v>
      </x:c>
      <x:c r="J5" s="18" t="n">
        <x:f>MAX(1,ROUND(G5*(1-I5),0))</x:f>
        <x:v>14</x:v>
      </x:c>
      <x:c r="K5" s="18" t="str">
        <x:f>IF(J5&gt;=16,"Critical",IF(J5&gt;=10,"High",IF(J5&gt;=5,"Medium","Low")))</x:f>
        <x:v>High</x:v>
      </x:c>
      <x:c r="L5" s="18" t="str">
        <x:v>Mitigate</x:v>
      </x:c>
      <x:c r="M5" s="18" t="str">
        <x:v>AppSec</x:v>
      </x:c>
      <x:c r="N5" s="22" t="n">
        <x:v>46315</x:v>
      </x:c>
      <x:c r="O5" s="18" t="str">
        <x:v>Open</x:v>
      </x:c>
    </x:row>
    <x:row r="6">
      <x:c r="A6" s="18" t="str">
        <x:v>R-005</x:v>
      </x:c>
      <x:c r="B6" s="18" t="str">
        <x:v>V-002</x:v>
      </x:c>
      <x:c r="C6" s="18" t="str">
        <x:v>Incident Response</x:v>
      </x:c>
      <x:c r="D6" s="18" t="str">
        <x:v>Contract does not yet define a security-incident notification window.</x:v>
      </x:c>
      <x:c r="E6" s="18" t="n">
        <x:v>3</x:v>
      </x:c>
      <x:c r="F6" s="18" t="n">
        <x:v>5</x:v>
      </x:c>
      <x:c r="G6" s="18" t="n">
        <x:f>E6*F6</x:f>
        <x:v>15</x:v>
      </x:c>
      <x:c r="H6" s="18" t="str">
        <x:v>IR plan; internal escalation process</x:v>
      </x:c>
      <x:c r="I6" s="26" t="n">
        <x:v>0.25</x:v>
      </x:c>
      <x:c r="J6" s="18" t="n">
        <x:f>MAX(1,ROUND(G6*(1-I6),0))</x:f>
        <x:v>11</x:v>
      </x:c>
      <x:c r="K6" s="18" t="str">
        <x:f>IF(J6&gt;=16,"Critical",IF(J6&gt;=10,"High",IF(J6&gt;=5,"Medium","Low")))</x:f>
        <x:v>High</x:v>
      </x:c>
      <x:c r="L6" s="18" t="str">
        <x:v>Mitigate</x:v>
      </x:c>
      <x:c r="M6" s="18" t="str">
        <x:v>Legal</x:v>
      </x:c>
      <x:c r="N6" s="22" t="n">
        <x:v>46295</x:v>
      </x:c>
      <x:c r="O6" s="18" t="str">
        <x:v>In Progress</x:v>
      </x:c>
    </x:row>
    <x:row r="7">
      <x:c r="A7" s="18" t="str">
        <x:v>R-006</x:v>
      </x:c>
      <x:c r="B7" s="18" t="str">
        <x:v>V-002</x:v>
      </x:c>
      <x:c r="C7" s="18" t="str">
        <x:v>BCP / DR</x:v>
      </x:c>
      <x:c r="D7" s="18" t="str">
        <x:v>Latest recovery test exceeded stated RTO by 90 minutes, potentially delaying critical business recovery.</x:v>
      </x:c>
      <x:c r="E7" s="18" t="n">
        <x:v>4</x:v>
      </x:c>
      <x:c r="F7" s="18" t="n">
        <x:v>5</x:v>
      </x:c>
      <x:c r="G7" s="18" t="n">
        <x:f>E7*F7</x:f>
        <x:v>20</x:v>
      </x:c>
      <x:c r="H7" s="18" t="str">
        <x:v>Multi-region architecture; documented DR plan</x:v>
      </x:c>
      <x:c r="I7" s="26" t="n">
        <x:v>0.3</x:v>
      </x:c>
      <x:c r="J7" s="18" t="n">
        <x:f>MAX(1,ROUND(G7*(1-I7),0))</x:f>
        <x:v>14</x:v>
      </x:c>
      <x:c r="K7" s="18" t="str">
        <x:f>IF(J7&gt;=16,"Critical",IF(J7&gt;=10,"High",IF(J7&gt;=5,"Medium","Low")))</x:f>
        <x:v>High</x:v>
      </x:c>
      <x:c r="L7" s="18" t="str">
        <x:v>Mitigate</x:v>
      </x:c>
      <x:c r="M7" s="18" t="str">
        <x:v>Business Owner</x:v>
      </x:c>
      <x:c r="N7" s="22" t="n">
        <x:v>46325</x:v>
      </x:c>
      <x:c r="O7" s="18" t="str">
        <x:v>Open</x:v>
      </x:c>
    </x:row>
    <x:row r="8">
      <x:c r="A8" s="18" t="str">
        <x:v>R-007</x:v>
      </x:c>
      <x:c r="B8" s="18" t="str">
        <x:v>V-002</x:v>
      </x:c>
      <x:c r="C8" s="18" t="str">
        <x:v>Fourth Party</x:v>
      </x:c>
      <x:c r="D8" s="18" t="str">
        <x:v>Critical subprocessors are reassessed only at onboarding, increasing risk of unnoticed control degradation.</x:v>
      </x:c>
      <x:c r="E8" s="18" t="n">
        <x:v>3</x:v>
      </x:c>
      <x:c r="F8" s="18" t="n">
        <x:v>4</x:v>
      </x:c>
      <x:c r="G8" s="18" t="n">
        <x:f>E8*F8</x:f>
        <x:v>12</x:v>
      </x:c>
      <x:c r="H8" s="18" t="str">
        <x:v>Contractual obligations; vendor oversight policy</x:v>
      </x:c>
      <x:c r="I8" s="26" t="n">
        <x:v>0.45</x:v>
      </x:c>
      <x:c r="J8" s="18" t="n">
        <x:f>MAX(1,ROUND(G8*(1-I8),0))</x:f>
        <x:v>7</x:v>
      </x:c>
      <x:c r="K8" s="18" t="str">
        <x:f>IF(J8&gt;=16,"Critical",IF(J8&gt;=10,"High",IF(J8&gt;=5,"Medium","Low")))</x:f>
        <x:v>Medium</x:v>
      </x:c>
      <x:c r="L8" s="18" t="str">
        <x:v>Mitigate</x:v>
      </x:c>
      <x:c r="M8" s="18" t="str">
        <x:v>TPRM</x:v>
      </x:c>
      <x:c r="N8" s="22" t="n">
        <x:v>46371</x:v>
      </x:c>
      <x:c r="O8" s="18" t="str">
        <x:v>Open</x:v>
      </x:c>
    </x:row>
    <x:row r="9">
      <x:c r="A9" s="18" t="str">
        <x:v>R-008</x:v>
      </x:c>
      <x:c r="B9" s="18" t="str">
        <x:v>V-002</x:v>
      </x:c>
      <x:c r="C9" s="18" t="str">
        <x:v>Assurance</x:v>
      </x:c>
      <x:c r="D9" s="18" t="str">
        <x:v>Two medium pentest findings remain open past the vendor's target date.</x:v>
      </x:c>
      <x:c r="E9" s="18" t="n">
        <x:v>3</x:v>
      </x:c>
      <x:c r="F9" s="18" t="n">
        <x:v>3</x:v>
      </x:c>
      <x:c r="G9" s="18" t="n">
        <x:f>E9*F9</x:f>
        <x:v>9</x:v>
      </x:c>
      <x:c r="H9" s="18" t="str">
        <x:v>No critical/high issues; WAF; monitoring</x:v>
      </x:c>
      <x:c r="I9" s="26" t="n">
        <x:v>0.45</x:v>
      </x:c>
      <x:c r="J9" s="18" t="n">
        <x:f>MAX(1,ROUND(G9*(1-I9),0))</x:f>
        <x:v>5</x:v>
      </x:c>
      <x:c r="K9" s="18" t="str">
        <x:f>IF(J9&gt;=16,"Critical",IF(J9&gt;=10,"High",IF(J9&gt;=5,"Medium","Low")))</x:f>
        <x:v>Medium</x:v>
      </x:c>
      <x:c r="L9" s="18" t="str">
        <x:v>Mitigate</x:v>
      </x:c>
      <x:c r="M9" s="18" t="str">
        <x:v>Vendor</x:v>
      </x:c>
      <x:c r="N9" s="22" t="n">
        <x:v>46290</x:v>
      </x:c>
      <x:c r="O9" s="18" t="str">
        <x:v>In Progress</x:v>
      </x:c>
    </x:row>
    <x:row r="10">
      <x:c r="A10" s="18" t="str">
        <x:v>R-009</x:v>
      </x:c>
      <x:c r="B10" s="18" t="str">
        <x:v>V-001</x:v>
      </x:c>
      <x:c r="C10" s="18" t="str">
        <x:v>Privacy</x:v>
      </x:c>
      <x:c r="D10" s="18" t="str">
        <x:v>Vendor cannot yet evidence deletion of employee data from backups after termination.</x:v>
      </x:c>
      <x:c r="E10" s="18" t="n">
        <x:v>3</x:v>
      </x:c>
      <x:c r="F10" s="18" t="n">
        <x:v>4</x:v>
      </x:c>
      <x:c r="G10" s="18" t="n">
        <x:f>E10*F10</x:f>
        <x:v>12</x:v>
      </x:c>
      <x:c r="H10" s="18" t="str">
        <x:v>Encryption; access controls; contractual deletion clause</x:v>
      </x:c>
      <x:c r="I10" s="26" t="n">
        <x:v>0.45</x:v>
      </x:c>
      <x:c r="J10" s="18" t="n">
        <x:f>MAX(1,ROUND(G10*(1-I10),0))</x:f>
        <x:v>7</x:v>
      </x:c>
      <x:c r="K10" s="18" t="str">
        <x:f>IF(J10&gt;=16,"Critical",IF(J10&gt;=10,"High",IF(J10&gt;=5,"Medium","Low")))</x:f>
        <x:v>Medium</x:v>
      </x:c>
      <x:c r="L10" s="18" t="str">
        <x:v>Mitigate</x:v>
      </x:c>
      <x:c r="M10" s="18" t="str">
        <x:v>HR / Privacy</x:v>
      </x:c>
      <x:c r="N10" s="22" t="n">
        <x:v>46326</x:v>
      </x:c>
      <x:c r="O10" s="18" t="str">
        <x:v>Open</x:v>
      </x:c>
    </x:row>
    <x:row r="11">
      <x:c r="A11" s="18" t="str">
        <x:v>R-010</x:v>
      </x:c>
      <x:c r="B11" s="18" t="str">
        <x:v>V-003</x:v>
      </x:c>
      <x:c r="C11" s="18" t="str">
        <x:v>Availability</x:v>
      </x:c>
      <x:c r="D11" s="18" t="str">
        <x:v>Marketing platform has limited formal recovery commitments, but the business has acceptable manual workarounds.</x:v>
      </x:c>
      <x:c r="E11" s="18" t="n">
        <x:v>2</x:v>
      </x:c>
      <x:c r="F11" s="18" t="n">
        <x:v>2</x:v>
      </x:c>
      <x:c r="G11" s="18" t="n">
        <x:f>E11*F11</x:f>
        <x:v>4</x:v>
      </x:c>
      <x:c r="H11" s="18" t="str">
        <x:v>Non-critical process; alternate campaign export</x:v>
      </x:c>
      <x:c r="I11" s="26" t="n">
        <x:v>0.5</x:v>
      </x:c>
      <x:c r="J11" s="18" t="n">
        <x:f>MAX(1,ROUND(G11*(1-I11),0))</x:f>
        <x:v>2</x:v>
      </x:c>
      <x:c r="K11" s="18" t="str">
        <x:f>IF(J11&gt;=16,"Critical",IF(J11&gt;=10,"High",IF(J11&gt;=5,"Medium","Low")))</x:f>
        <x:v>Low</x:v>
      </x:c>
      <x:c r="L11" s="18" t="str">
        <x:v>Accept</x:v>
      </x:c>
      <x:c r="M11" s="18" t="str">
        <x:v>Marketing</x:v>
      </x:c>
      <x:c r="N11" s="22" t="n">
        <x:v>46631</x:v>
      </x:c>
      <x:c r="O11" s="18" t="str">
        <x:v>Accepted</x:v>
      </x:c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26"/>
      <x:c r="J12" s="18"/>
      <x:c r="K12" s="18"/>
      <x:c r="L12" s="18"/>
      <x:c r="M12" s="18"/>
      <x:c r="N12" s="22"/>
      <x:c r="O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26"/>
      <x:c r="J13" s="18"/>
      <x:c r="K13" s="18"/>
      <x:c r="L13" s="18"/>
      <x:c r="M13" s="18"/>
      <x:c r="N13" s="22"/>
      <x:c r="O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26"/>
      <x:c r="J14" s="18"/>
      <x:c r="K14" s="18"/>
      <x:c r="L14" s="18"/>
      <x:c r="M14" s="18"/>
      <x:c r="N14" s="22"/>
      <x:c r="O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26"/>
      <x:c r="J15" s="18"/>
      <x:c r="K15" s="18"/>
      <x:c r="L15" s="18"/>
      <x:c r="M15" s="18"/>
      <x:c r="N15" s="22"/>
      <x:c r="O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26"/>
      <x:c r="J16" s="18"/>
      <x:c r="K16" s="18"/>
      <x:c r="L16" s="18"/>
      <x:c r="M16" s="18"/>
      <x:c r="N16" s="22"/>
      <x:c r="O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26"/>
      <x:c r="J17" s="18"/>
      <x:c r="K17" s="18"/>
      <x:c r="L17" s="18"/>
      <x:c r="M17" s="18"/>
      <x:c r="N17" s="22"/>
      <x:c r="O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26"/>
      <x:c r="J18" s="18"/>
      <x:c r="K18" s="18"/>
      <x:c r="L18" s="18"/>
      <x:c r="M18" s="18"/>
      <x:c r="N18" s="22"/>
      <x:c r="O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26"/>
      <x:c r="J19" s="18"/>
      <x:c r="K19" s="18"/>
      <x:c r="L19" s="18"/>
      <x:c r="M19" s="18"/>
      <x:c r="N19" s="22"/>
      <x:c r="O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26"/>
      <x:c r="J20" s="18"/>
      <x:c r="K20" s="18"/>
      <x:c r="L20" s="18"/>
      <x:c r="M20" s="18"/>
      <x:c r="N20" s="22"/>
      <x:c r="O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26"/>
      <x:c r="J21" s="18"/>
      <x:c r="K21" s="18"/>
      <x:c r="L21" s="18"/>
      <x:c r="M21" s="18"/>
      <x:c r="N21" s="22"/>
      <x:c r="O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26"/>
      <x:c r="J22" s="18"/>
      <x:c r="K22" s="18"/>
      <x:c r="L22" s="18"/>
      <x:c r="M22" s="18"/>
      <x:c r="N22" s="22"/>
      <x:c r="O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26"/>
      <x:c r="J23" s="18"/>
      <x:c r="K23" s="18"/>
      <x:c r="L23" s="18"/>
      <x:c r="M23" s="18"/>
      <x:c r="N23" s="22"/>
      <x:c r="O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26"/>
      <x:c r="J24" s="18"/>
      <x:c r="K24" s="18"/>
      <x:c r="L24" s="18"/>
      <x:c r="M24" s="18"/>
      <x:c r="N24" s="22"/>
      <x:c r="O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26"/>
      <x:c r="J25" s="18"/>
      <x:c r="K25" s="18"/>
      <x:c r="L25" s="18"/>
      <x:c r="M25" s="18"/>
      <x:c r="N25" s="22"/>
      <x:c r="O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26"/>
      <x:c r="J26" s="18"/>
      <x:c r="K26" s="18"/>
      <x:c r="L26" s="18"/>
      <x:c r="M26" s="18"/>
      <x:c r="N26" s="22"/>
      <x:c r="O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26"/>
      <x:c r="J27" s="18"/>
      <x:c r="K27" s="18"/>
      <x:c r="L27" s="18"/>
      <x:c r="M27" s="18"/>
      <x:c r="N27" s="22"/>
      <x:c r="O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26"/>
      <x:c r="J28" s="18"/>
      <x:c r="K28" s="18"/>
      <x:c r="L28" s="18"/>
      <x:c r="M28" s="18"/>
      <x:c r="N28" s="22"/>
      <x:c r="O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26"/>
      <x:c r="J29" s="18"/>
      <x:c r="K29" s="18"/>
      <x:c r="L29" s="18"/>
      <x:c r="M29" s="18"/>
      <x:c r="N29" s="22"/>
      <x:c r="O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26"/>
      <x:c r="J30" s="18"/>
      <x:c r="K30" s="18"/>
      <x:c r="L30" s="18"/>
      <x:c r="M30" s="18"/>
      <x:c r="N30" s="22"/>
      <x:c r="O30" s="18"/>
    </x:row>
    <x:row r="31">
      <x:c r="I31" s="24"/>
      <x:c r="N31" s="20"/>
    </x:row>
    <x:row r="32">
      <x:c r="I32" s="24"/>
      <x:c r="N32" s="20"/>
    </x:row>
    <x:row r="33">
      <x:c r="I33" s="24"/>
      <x:c r="N33" s="20"/>
    </x:row>
    <x:row r="34">
      <x:c r="I34" s="24"/>
      <x:c r="N34" s="20"/>
    </x:row>
    <x:row r="35">
      <x:c r="I35" s="24"/>
      <x:c r="N35" s="20"/>
    </x:row>
    <x:row r="36">
      <x:c r="I36" s="24"/>
      <x:c r="N36" s="20"/>
    </x:row>
    <x:row r="37">
      <x:c r="I37" s="24"/>
      <x:c r="N37" s="20"/>
    </x:row>
    <x:row r="38">
      <x:c r="I38" s="24"/>
      <x:c r="N38" s="20"/>
    </x:row>
    <x:row r="39">
      <x:c r="I39" s="24"/>
      <x:c r="N39" s="20"/>
    </x:row>
    <x:row r="40">
      <x:c r="I40" s="24"/>
      <x:c r="N40" s="20"/>
    </x:row>
    <x:row r="41">
      <x:c r="I41" s="24"/>
      <x:c r="N41" s="20"/>
    </x:row>
    <x:row r="42">
      <x:c r="I42" s="24"/>
      <x:c r="N42" s="20"/>
    </x:row>
    <x:row r="43">
      <x:c r="I43" s="24"/>
      <x:c r="N43" s="20"/>
    </x:row>
    <x:row r="44">
      <x:c r="I44" s="24"/>
      <x:c r="N44" s="20"/>
    </x:row>
    <x:row r="45">
      <x:c r="I45" s="24"/>
      <x:c r="N45" s="20"/>
    </x:row>
    <x:row r="46">
      <x:c r="I46" s="24"/>
      <x:c r="N46" s="20"/>
    </x:row>
    <x:row r="47">
      <x:c r="I47" s="24"/>
      <x:c r="N47" s="20"/>
    </x:row>
    <x:row r="48">
      <x:c r="I48" s="24"/>
      <x:c r="N48" s="20"/>
    </x:row>
    <x:row r="49">
      <x:c r="I49" s="24"/>
      <x:c r="N49" s="20"/>
    </x:row>
    <x:row r="50">
      <x:c r="I50" s="24"/>
      <x:c r="N50" s="20"/>
    </x:row>
    <x:row r="51">
      <x:c r="I51" s="24"/>
      <x:c r="N51" s="20"/>
    </x:row>
    <x:row r="52">
      <x:c r="I52" s="24"/>
      <x:c r="N52" s="20"/>
    </x:row>
    <x:row r="53">
      <x:c r="I53" s="24"/>
      <x:c r="N53" s="20"/>
    </x:row>
    <x:row r="54">
      <x:c r="I54" s="24"/>
      <x:c r="N54" s="20"/>
    </x:row>
    <x:row r="55">
      <x:c r="I55" s="24"/>
      <x:c r="N55" s="20"/>
    </x:row>
    <x:row r="56">
      <x:c r="I56" s="24"/>
      <x:c r="N56" s="20"/>
    </x:row>
    <x:row r="57">
      <x:c r="I57" s="24"/>
      <x:c r="N57" s="20"/>
    </x:row>
    <x:row r="58">
      <x:c r="I58" s="24"/>
      <x:c r="N58" s="20"/>
    </x:row>
    <x:row r="59">
      <x:c r="I59" s="24"/>
      <x:c r="N59" s="20"/>
    </x:row>
    <x:row r="60">
      <x:c r="I60" s="24"/>
      <x:c r="N60" s="20"/>
    </x:row>
    <x:row r="61">
      <x:c r="I61" s="24"/>
      <x:c r="N61" s="20"/>
    </x:row>
    <x:row r="62">
      <x:c r="I62" s="24"/>
      <x:c r="N62" s="20"/>
    </x:row>
    <x:row r="63">
      <x:c r="I63" s="24"/>
      <x:c r="N63" s="20"/>
    </x:row>
    <x:row r="64">
      <x:c r="I64" s="24"/>
      <x:c r="N64" s="20"/>
    </x:row>
    <x:row r="65">
      <x:c r="I65" s="24"/>
      <x:c r="N65" s="20"/>
    </x:row>
    <x:row r="66">
      <x:c r="I66" s="24"/>
      <x:c r="N66" s="20"/>
    </x:row>
    <x:row r="67">
      <x:c r="I67" s="24"/>
      <x:c r="N67" s="20"/>
    </x:row>
    <x:row r="68">
      <x:c r="I68" s="24"/>
      <x:c r="N68" s="20"/>
    </x:row>
    <x:row r="69">
      <x:c r="I69" s="24"/>
      <x:c r="N69" s="20"/>
    </x:row>
    <x:row r="70">
      <x:c r="I70" s="24"/>
      <x:c r="N70" s="20"/>
    </x:row>
    <x:row r="71">
      <x:c r="I71" s="24"/>
      <x:c r="N71" s="20"/>
    </x:row>
    <x:row r="72">
      <x:c r="I72" s="24"/>
      <x:c r="N72" s="20"/>
    </x:row>
    <x:row r="73">
      <x:c r="I73" s="24"/>
      <x:c r="N73" s="20"/>
    </x:row>
    <x:row r="74">
      <x:c r="I74" s="24"/>
      <x:c r="N74" s="20"/>
    </x:row>
    <x:row r="75">
      <x:c r="I75" s="24"/>
      <x:c r="N75" s="20"/>
    </x:row>
    <x:row r="76">
      <x:c r="I76" s="24"/>
      <x:c r="N76" s="20"/>
    </x:row>
    <x:row r="77">
      <x:c r="I77" s="24"/>
      <x:c r="N77" s="20"/>
    </x:row>
    <x:row r="78">
      <x:c r="I78" s="24"/>
      <x:c r="N78" s="20"/>
    </x:row>
    <x:row r="79">
      <x:c r="I79" s="24"/>
      <x:c r="N79" s="20"/>
    </x:row>
    <x:row r="80">
      <x:c r="I80" s="24"/>
      <x:c r="N80" s="20"/>
    </x:row>
    <x:row r="81">
      <x:c r="I81" s="24"/>
      <x:c r="N81" s="20"/>
    </x:row>
    <x:row r="82">
      <x:c r="I82" s="24"/>
      <x:c r="N82" s="20"/>
    </x:row>
    <x:row r="83">
      <x:c r="I83" s="24"/>
      <x:c r="N83" s="20"/>
    </x:row>
    <x:row r="84">
      <x:c r="I84" s="24"/>
      <x:c r="N84" s="20"/>
    </x:row>
    <x:row r="85">
      <x:c r="I85" s="24"/>
      <x:c r="N85" s="20"/>
    </x:row>
    <x:row r="86">
      <x:c r="I86" s="24"/>
      <x:c r="N86" s="20"/>
    </x:row>
    <x:row r="87">
      <x:c r="I87" s="24"/>
      <x:c r="N87" s="20"/>
    </x:row>
    <x:row r="88">
      <x:c r="I88" s="24"/>
      <x:c r="N88" s="20"/>
    </x:row>
    <x:row r="89">
      <x:c r="I89" s="24"/>
      <x:c r="N89" s="20"/>
    </x:row>
    <x:row r="90">
      <x:c r="I90" s="24"/>
      <x:c r="N90" s="20"/>
    </x:row>
    <x:row r="91">
      <x:c r="I91" s="24"/>
      <x:c r="N91" s="20"/>
    </x:row>
    <x:row r="92">
      <x:c r="I92" s="24"/>
      <x:c r="N92" s="20"/>
    </x:row>
    <x:row r="93">
      <x:c r="I93" s="24"/>
      <x:c r="N93" s="20"/>
    </x:row>
    <x:row r="94">
      <x:c r="I94" s="24"/>
      <x:c r="N94" s="20"/>
    </x:row>
    <x:row r="95">
      <x:c r="I95" s="24"/>
      <x:c r="N95" s="20"/>
    </x:row>
    <x:row r="96">
      <x:c r="I96" s="24"/>
      <x:c r="N96" s="20"/>
    </x:row>
    <x:row r="97">
      <x:c r="I97" s="24"/>
      <x:c r="N97" s="20"/>
    </x:row>
    <x:row r="98">
      <x:c r="I98" s="24"/>
      <x:c r="N98" s="20"/>
    </x:row>
    <x:row r="99">
      <x:c r="I99" s="24"/>
      <x:c r="N99" s="20"/>
    </x:row>
    <x:row r="100">
      <x:c r="I100" s="24"/>
      <x:c r="N100" s="20"/>
    </x:row>
  </x:sheetData>
  <x:conditionalFormatting sqref="K2:K100">
    <x:cfRule type="expression" dxfId="8" priority="1">
      <x:formula>$K2="Critical"</x:formula>
    </x:cfRule>
    <x:cfRule type="expression" dxfId="9" priority="2">
      <x:formula>$K2="High"</x:formula>
    </x:cfRule>
    <x:cfRule type="expression" dxfId="10" priority="3">
      <x:formula>$K2="Medium"</x:formula>
    </x:cfRule>
    <x:cfRule type="expression" dxfId="11" priority="4">
      <x:formula>$K2="Low"</x:formula>
    </x:cfRule>
  </x:conditionalFormatting>
  <x:dataValidations count="3">
    <x:dataValidation operator="between" sqref="E2:F100">
      <x:formula1>1</x:formula1>
      <x:formula2>5</x:formula2>
    </x:dataValidation>
    <x:dataValidation type="list" sqref="L2:L100">
      <x:formula1>"Mitigate,Accept,Transfer,Avoid"</x:formula1>
    </x:dataValidation>
    <x:dataValidation type="list" sqref="O2:O100">
      <x:formula1>"Open,In Progress,Closed,Accepted,Expired"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60" hidden="0" customWidth="1"/>
    <x:col min="5" max="5" width="22" hidden="0" customWidth="1"/>
    <x:col min="6" max="6" width="14" hidden="0" customWidth="1"/>
    <x:col min="7" max="7" width="16" hidden="0" customWidth="1"/>
    <x:col min="8" max="8" width="38" hidden="0" customWidth="1"/>
    <x:col min="9" max="9" width="46" hidden="0" customWidth="1"/>
    <x:col min="10" max="10" width="14" hidden="0" customWidth="1"/>
    <x:col min="18" max="18" width="22" hidden="0" customWidth="1"/>
  </x:cols>
  <x:sheetData>
    <x:row r="1">
      <x:c r="A1" s="12" t="str">
        <x:v>Action ID</x:v>
      </x:c>
      <x:c r="B1" s="12" t="str">
        <x:v>Risk ID</x:v>
      </x:c>
      <x:c r="C1" s="12" t="str">
        <x:v>Vendor ID</x:v>
      </x:c>
      <x:c r="D1" s="12" t="str">
        <x:v>Remediation / Commitment</x:v>
      </x:c>
      <x:c r="E1" s="12" t="str">
        <x:v>Owner</x:v>
      </x:c>
      <x:c r="F1" s="12" t="str">
        <x:v>Due Date</x:v>
      </x:c>
      <x:c r="G1" s="12" t="str">
        <x:v>Status</x:v>
      </x:c>
      <x:c r="H1" s="12" t="str">
        <x:v>Evidence Required</x:v>
      </x:c>
      <x:c r="I1" s="12" t="str">
        <x:v>Escalation / Risk Acceptance</x:v>
      </x:c>
      <x:c r="J1" s="12" t="str">
        <x:v>Last Update</x:v>
      </x:c>
      <x:c r="R1" s="54" t="str">
        <x:v>FICTIONAL SAMPLE DATA</x:v>
      </x:c>
    </x:row>
    <x:row r="2">
      <x:c r="A2" s="18" t="str">
        <x:v>A-001</x:v>
      </x:c>
      <x:c r="B2" s="18" t="str">
        <x:v>R-001</x:v>
      </x:c>
      <x:c r="C2" s="18" t="str">
        <x:v>V-002</x:v>
      </x:c>
      <x:c r="D2" s="18" t="str">
        <x:v>Enforce MFA on legacy break-glass accounts or implement approved compensating control.</x:v>
      </x:c>
      <x:c r="E2" s="18" t="str">
        <x:v>Vendor Security</x:v>
      </x:c>
      <x:c r="F2" s="22" t="n">
        <x:v>46310</x:v>
      </x:c>
      <x:c r="G2" s="18" t="str">
        <x:v>Open</x:v>
      </x:c>
      <x:c r="H2" s="18" t="str">
        <x:v>MFA configuration evidence</x:v>
      </x:c>
      <x:c r="I2" s="18" t="str">
        <x:v>Escalate if not complete before production onboarding</x:v>
      </x:c>
      <x:c r="J2" s="22" t="n">
        <x:v>46275</x:v>
      </x:c>
    </x:row>
    <x:row r="3">
      <x:c r="A3" s="18" t="str">
        <x:v>A-002</x:v>
      </x:c>
      <x:c r="B3" s="18" t="str">
        <x:v>R-004</x:v>
      </x:c>
      <x:c r="C3" s="18" t="str">
        <x:v>V-002</x:v>
      </x:c>
      <x:c r="D3" s="18" t="str">
        <x:v>Require Security approval for release exceptions involving High/Critical vulnerabilities.</x:v>
      </x:c>
      <x:c r="E3" s="18" t="str">
        <x:v>Vendor AppSec</x:v>
      </x:c>
      <x:c r="F3" s="22" t="n">
        <x:v>46315</x:v>
      </x:c>
      <x:c r="G3" s="18" t="str">
        <x:v>Open</x:v>
      </x:c>
      <x:c r="H3" s="18" t="str">
        <x:v>Updated release/risk-exception procedure</x:v>
      </x:c>
      <x:c r="I3" s="18" t="str">
        <x:v>Conditional approval</x:v>
      </x:c>
      <x:c r="J3" s="22" t="n">
        <x:v>46275</x:v>
      </x:c>
    </x:row>
    <x:row r="4">
      <x:c r="A4" s="18" t="str">
        <x:v>A-003</x:v>
      </x:c>
      <x:c r="B4" s="18" t="str">
        <x:v>R-005</x:v>
      </x:c>
      <x:c r="C4" s="18" t="str">
        <x:v>V-002</x:v>
      </x:c>
      <x:c r="D4" s="18" t="str">
        <x:v>Add contractual security-incident notification SLA.</x:v>
      </x:c>
      <x:c r="E4" s="18" t="str">
        <x:v>Legal / Procurement</x:v>
      </x:c>
      <x:c r="F4" s="22" t="n">
        <x:v>46295</x:v>
      </x:c>
      <x:c r="G4" s="18" t="str">
        <x:v>In Progress</x:v>
      </x:c>
      <x:c r="H4" s="18" t="str">
        <x:v>Executed security addendum / MSA</x:v>
      </x:c>
      <x:c r="I4" s="18" t="str">
        <x:v>No production data until executed</x:v>
      </x:c>
      <x:c r="J4" s="22" t="n">
        <x:v>46275</x:v>
      </x:c>
    </x:row>
    <x:row r="5">
      <x:c r="A5" s="18" t="str">
        <x:v>A-004</x:v>
      </x:c>
      <x:c r="B5" s="18" t="str">
        <x:v>R-006</x:v>
      </x:c>
      <x:c r="C5" s="18" t="str">
        <x:v>V-002</x:v>
      </x:c>
      <x:c r="D5" s="18" t="str">
        <x:v>Complete DR corrective actions and provide successful retest results meeting stated RTO.</x:v>
      </x:c>
      <x:c r="E5" s="18" t="str">
        <x:v>Vendor BCP Lead</x:v>
      </x:c>
      <x:c r="F5" s="22" t="n">
        <x:v>46325</x:v>
      </x:c>
      <x:c r="G5" s="18" t="str">
        <x:v>Open</x:v>
      </x:c>
      <x:c r="H5" s="18" t="str">
        <x:v>DR retest report</x:v>
      </x:c>
      <x:c r="I5" s="18" t="str">
        <x:v>Business owner to accept temporary residual risk if launch precedes retest</x:v>
      </x:c>
      <x:c r="J5" s="22" t="n">
        <x:v>46275</x:v>
      </x:c>
    </x:row>
    <x:row r="6">
      <x:c r="A6" s="18" t="str">
        <x:v>A-005</x:v>
      </x:c>
      <x:c r="B6" s="18" t="str">
        <x:v>R-009</x:v>
      </x:c>
      <x:c r="C6" s="18" t="str">
        <x:v>V-001</x:v>
      </x:c>
      <x:c r="D6" s="18" t="str">
        <x:v>Provide evidence that terminated customer data is purged from backups within agreed retention period.</x:v>
      </x:c>
      <x:c r="E6" s="18" t="str">
        <x:v>Vendor Privacy</x:v>
      </x:c>
      <x:c r="F6" s="22" t="n">
        <x:v>46326</x:v>
      </x:c>
      <x:c r="G6" s="18" t="str">
        <x:v>Open</x:v>
      </x:c>
      <x:c r="H6" s="18" t="str">
        <x:v>Deletion procedure + sample evidence</x:v>
      </x:c>
      <x:c r="I6" s="18" t="str">
        <x:v>Privacy approval required</x:v>
      </x:c>
      <x:c r="J6" s="22" t="n">
        <x:v>46275</x:v>
      </x:c>
    </x:row>
    <x:row r="7">
      <x:c r="A7" s="18"/>
      <x:c r="B7" s="18"/>
      <x:c r="C7" s="18"/>
      <x:c r="D7" s="18"/>
      <x:c r="E7" s="18"/>
      <x:c r="F7" s="22"/>
      <x:c r="G7" s="18"/>
      <x:c r="H7" s="18"/>
      <x:c r="I7" s="18"/>
      <x:c r="J7" s="22"/>
    </x:row>
    <x:row r="8">
      <x:c r="A8" s="18"/>
      <x:c r="B8" s="18"/>
      <x:c r="C8" s="18"/>
      <x:c r="D8" s="18"/>
      <x:c r="E8" s="18"/>
      <x:c r="F8" s="22"/>
      <x:c r="G8" s="18"/>
      <x:c r="H8" s="18"/>
      <x:c r="I8" s="18"/>
      <x:c r="J8" s="22"/>
    </x:row>
    <x:row r="9">
      <x:c r="A9" s="18"/>
      <x:c r="B9" s="18"/>
      <x:c r="C9" s="18"/>
      <x:c r="D9" s="18"/>
      <x:c r="E9" s="18"/>
      <x:c r="F9" s="22"/>
      <x:c r="G9" s="18"/>
      <x:c r="H9" s="18"/>
      <x:c r="I9" s="18"/>
      <x:c r="J9" s="22"/>
    </x:row>
    <x:row r="10">
      <x:c r="A10" s="18"/>
      <x:c r="B10" s="18"/>
      <x:c r="C10" s="18"/>
      <x:c r="D10" s="18"/>
      <x:c r="E10" s="18"/>
      <x:c r="F10" s="22"/>
      <x:c r="G10" s="18"/>
      <x:c r="H10" s="18"/>
      <x:c r="I10" s="18"/>
      <x:c r="J10" s="22"/>
    </x:row>
    <x:row r="11">
      <x:c r="A11" s="18"/>
      <x:c r="B11" s="18"/>
      <x:c r="C11" s="18"/>
      <x:c r="D11" s="18"/>
      <x:c r="E11" s="18"/>
      <x:c r="F11" s="22"/>
      <x:c r="G11" s="18"/>
      <x:c r="H11" s="18"/>
      <x:c r="I11" s="18"/>
      <x:c r="J11" s="22"/>
    </x:row>
    <x:row r="12">
      <x:c r="A12" s="18"/>
      <x:c r="B12" s="18"/>
      <x:c r="C12" s="18"/>
      <x:c r="D12" s="18"/>
      <x:c r="E12" s="18"/>
      <x:c r="F12" s="22"/>
      <x:c r="G12" s="18"/>
      <x:c r="H12" s="18"/>
      <x:c r="I12" s="18"/>
      <x:c r="J12" s="22"/>
    </x:row>
    <x:row r="13">
      <x:c r="A13" s="18"/>
      <x:c r="B13" s="18"/>
      <x:c r="C13" s="18"/>
      <x:c r="D13" s="18"/>
      <x:c r="E13" s="18"/>
      <x:c r="F13" s="22"/>
      <x:c r="G13" s="18"/>
      <x:c r="H13" s="18"/>
      <x:c r="I13" s="18"/>
      <x:c r="J13" s="22"/>
    </x:row>
    <x:row r="14">
      <x:c r="A14" s="18"/>
      <x:c r="B14" s="18"/>
      <x:c r="C14" s="18"/>
      <x:c r="D14" s="18"/>
      <x:c r="E14" s="18"/>
      <x:c r="F14" s="22"/>
      <x:c r="G14" s="18"/>
      <x:c r="H14" s="18"/>
      <x:c r="I14" s="18"/>
      <x:c r="J14" s="22"/>
    </x:row>
    <x:row r="15">
      <x:c r="A15" s="18"/>
      <x:c r="B15" s="18"/>
      <x:c r="C15" s="18"/>
      <x:c r="D15" s="18"/>
      <x:c r="E15" s="18"/>
      <x:c r="F15" s="22"/>
      <x:c r="G15" s="18"/>
      <x:c r="H15" s="18"/>
      <x:c r="I15" s="18"/>
      <x:c r="J15" s="22"/>
    </x:row>
    <x:row r="16">
      <x:c r="A16" s="18"/>
      <x:c r="B16" s="18"/>
      <x:c r="C16" s="18"/>
      <x:c r="D16" s="18"/>
      <x:c r="E16" s="18"/>
      <x:c r="F16" s="22"/>
      <x:c r="G16" s="18"/>
      <x:c r="H16" s="18"/>
      <x:c r="I16" s="18"/>
      <x:c r="J16" s="22"/>
    </x:row>
    <x:row r="17">
      <x:c r="A17" s="18"/>
      <x:c r="B17" s="18"/>
      <x:c r="C17" s="18"/>
      <x:c r="D17" s="18"/>
      <x:c r="E17" s="18"/>
      <x:c r="F17" s="22"/>
      <x:c r="G17" s="18"/>
      <x:c r="H17" s="18"/>
      <x:c r="I17" s="18"/>
      <x:c r="J17" s="22"/>
    </x:row>
    <x:row r="18">
      <x:c r="A18" s="18"/>
      <x:c r="B18" s="18"/>
      <x:c r="C18" s="18"/>
      <x:c r="D18" s="18"/>
      <x:c r="E18" s="18"/>
      <x:c r="F18" s="22"/>
      <x:c r="G18" s="18"/>
      <x:c r="H18" s="18"/>
      <x:c r="I18" s="18"/>
      <x:c r="J18" s="22"/>
    </x:row>
    <x:row r="19">
      <x:c r="A19" s="18"/>
      <x:c r="B19" s="18"/>
      <x:c r="C19" s="18"/>
      <x:c r="D19" s="18"/>
      <x:c r="E19" s="18"/>
      <x:c r="F19" s="22"/>
      <x:c r="G19" s="18"/>
      <x:c r="H19" s="18"/>
      <x:c r="I19" s="18"/>
      <x:c r="J19" s="22"/>
    </x:row>
    <x:row r="20">
      <x:c r="A20" s="18"/>
      <x:c r="B20" s="18"/>
      <x:c r="C20" s="18"/>
      <x:c r="D20" s="18"/>
      <x:c r="E20" s="18"/>
      <x:c r="F20" s="22"/>
      <x:c r="G20" s="18"/>
      <x:c r="H20" s="18"/>
      <x:c r="I20" s="18"/>
      <x:c r="J20" s="22"/>
    </x:row>
    <x:row r="21">
      <x:c r="A21" s="18"/>
      <x:c r="B21" s="18"/>
      <x:c r="C21" s="18"/>
      <x:c r="D21" s="18"/>
      <x:c r="E21" s="18"/>
      <x:c r="F21" s="22"/>
      <x:c r="G21" s="18"/>
      <x:c r="H21" s="18"/>
      <x:c r="I21" s="18"/>
      <x:c r="J21" s="22"/>
    </x:row>
    <x:row r="22">
      <x:c r="A22" s="18"/>
      <x:c r="B22" s="18"/>
      <x:c r="C22" s="18"/>
      <x:c r="D22" s="18"/>
      <x:c r="E22" s="18"/>
      <x:c r="F22" s="22"/>
      <x:c r="G22" s="18"/>
      <x:c r="H22" s="18"/>
      <x:c r="I22" s="18"/>
      <x:c r="J22" s="22"/>
    </x:row>
    <x:row r="23">
      <x:c r="A23" s="18"/>
      <x:c r="B23" s="18"/>
      <x:c r="C23" s="18"/>
      <x:c r="D23" s="18"/>
      <x:c r="E23" s="18"/>
      <x:c r="F23" s="22"/>
      <x:c r="G23" s="18"/>
      <x:c r="H23" s="18"/>
      <x:c r="I23" s="18"/>
      <x:c r="J23" s="22"/>
    </x:row>
    <x:row r="24">
      <x:c r="A24" s="18"/>
      <x:c r="B24" s="18"/>
      <x:c r="C24" s="18"/>
      <x:c r="D24" s="18"/>
      <x:c r="E24" s="18"/>
      <x:c r="F24" s="22"/>
      <x:c r="G24" s="18"/>
      <x:c r="H24" s="18"/>
      <x:c r="I24" s="18"/>
      <x:c r="J24" s="22"/>
    </x:row>
    <x:row r="25">
      <x:c r="A25" s="18"/>
      <x:c r="B25" s="18"/>
      <x:c r="C25" s="18"/>
      <x:c r="D25" s="18"/>
      <x:c r="E25" s="18"/>
      <x:c r="F25" s="22"/>
      <x:c r="G25" s="18"/>
      <x:c r="H25" s="18"/>
      <x:c r="I25" s="18"/>
      <x:c r="J25" s="22"/>
    </x:row>
    <x:row r="26">
      <x:c r="A26" s="18"/>
      <x:c r="B26" s="18"/>
      <x:c r="C26" s="18"/>
      <x:c r="D26" s="18"/>
      <x:c r="E26" s="18"/>
      <x:c r="F26" s="22"/>
      <x:c r="G26" s="18"/>
      <x:c r="H26" s="18"/>
      <x:c r="I26" s="18"/>
      <x:c r="J26" s="22"/>
    </x:row>
    <x:row r="27">
      <x:c r="A27" s="18"/>
      <x:c r="B27" s="18"/>
      <x:c r="C27" s="18"/>
      <x:c r="D27" s="18"/>
      <x:c r="E27" s="18"/>
      <x:c r="F27" s="22"/>
      <x:c r="G27" s="18"/>
      <x:c r="H27" s="18"/>
      <x:c r="I27" s="18"/>
      <x:c r="J27" s="22"/>
    </x:row>
    <x:row r="28">
      <x:c r="A28" s="18"/>
      <x:c r="B28" s="18"/>
      <x:c r="C28" s="18"/>
      <x:c r="D28" s="18"/>
      <x:c r="E28" s="18"/>
      <x:c r="F28" s="22"/>
      <x:c r="G28" s="18"/>
      <x:c r="H28" s="18"/>
      <x:c r="I28" s="18"/>
      <x:c r="J28" s="22"/>
    </x:row>
    <x:row r="29">
      <x:c r="A29" s="18"/>
      <x:c r="B29" s="18"/>
      <x:c r="C29" s="18"/>
      <x:c r="D29" s="18"/>
      <x:c r="E29" s="18"/>
      <x:c r="F29" s="22"/>
      <x:c r="G29" s="18"/>
      <x:c r="H29" s="18"/>
      <x:c r="I29" s="18"/>
      <x:c r="J29" s="22"/>
    </x:row>
    <x:row r="30">
      <x:c r="A30" s="18"/>
      <x:c r="B30" s="18"/>
      <x:c r="C30" s="18"/>
      <x:c r="D30" s="18"/>
      <x:c r="E30" s="18"/>
      <x:c r="F30" s="22"/>
      <x:c r="G30" s="18"/>
      <x:c r="H30" s="18"/>
      <x:c r="I30" s="18"/>
      <x:c r="J30" s="22"/>
    </x:row>
    <x:row r="31">
      <x:c r="F31" s="20"/>
      <x:c r="J31" s="20"/>
    </x:row>
    <x:row r="32">
      <x:c r="F32" s="20"/>
      <x:c r="J32" s="20"/>
    </x:row>
    <x:row r="33">
      <x:c r="F33" s="20"/>
      <x:c r="J33" s="20"/>
    </x:row>
    <x:row r="34">
      <x:c r="F34" s="20"/>
      <x:c r="J34" s="20"/>
    </x:row>
    <x:row r="35">
      <x:c r="F35" s="20"/>
      <x:c r="J35" s="20"/>
    </x:row>
    <x:row r="36">
      <x:c r="F36" s="20"/>
      <x:c r="J36" s="20"/>
    </x:row>
    <x:row r="37">
      <x:c r="F37" s="20"/>
      <x:c r="J37" s="20"/>
    </x:row>
    <x:row r="38">
      <x:c r="F38" s="20"/>
      <x:c r="J38" s="20"/>
    </x:row>
    <x:row r="39">
      <x:c r="F39" s="20"/>
      <x:c r="J39" s="20"/>
    </x:row>
    <x:row r="40">
      <x:c r="F40" s="20"/>
      <x:c r="J40" s="20"/>
    </x:row>
    <x:row r="41">
      <x:c r="F41" s="20"/>
      <x:c r="J41" s="20"/>
    </x:row>
    <x:row r="42">
      <x:c r="F42" s="20"/>
      <x:c r="J42" s="20"/>
    </x:row>
    <x:row r="43">
      <x:c r="F43" s="20"/>
      <x:c r="J43" s="20"/>
    </x:row>
    <x:row r="44">
      <x:c r="F44" s="20"/>
      <x:c r="J44" s="20"/>
    </x:row>
    <x:row r="45">
      <x:c r="F45" s="20"/>
      <x:c r="J45" s="20"/>
    </x:row>
    <x:row r="46">
      <x:c r="F46" s="20"/>
      <x:c r="J46" s="20"/>
    </x:row>
    <x:row r="47">
      <x:c r="F47" s="20"/>
      <x:c r="J47" s="20"/>
    </x:row>
    <x:row r="48">
      <x:c r="F48" s="20"/>
      <x:c r="J48" s="20"/>
    </x:row>
    <x:row r="49">
      <x:c r="F49" s="20"/>
      <x:c r="J49" s="20"/>
    </x:row>
    <x:row r="50">
      <x:c r="F50" s="20"/>
      <x:c r="J50" s="20"/>
    </x:row>
    <x:row r="51">
      <x:c r="F51" s="20"/>
      <x:c r="J51" s="20"/>
    </x:row>
    <x:row r="52">
      <x:c r="F52" s="20"/>
      <x:c r="J52" s="20"/>
    </x:row>
    <x:row r="53">
      <x:c r="F53" s="20"/>
      <x:c r="J53" s="20"/>
    </x:row>
    <x:row r="54">
      <x:c r="F54" s="20"/>
      <x:c r="J54" s="20"/>
    </x:row>
    <x:row r="55">
      <x:c r="F55" s="20"/>
      <x:c r="J55" s="20"/>
    </x:row>
    <x:row r="56">
      <x:c r="F56" s="20"/>
      <x:c r="J56" s="20"/>
    </x:row>
    <x:row r="57">
      <x:c r="F57" s="20"/>
      <x:c r="J57" s="20"/>
    </x:row>
    <x:row r="58">
      <x:c r="F58" s="20"/>
      <x:c r="J58" s="20"/>
    </x:row>
    <x:row r="59">
      <x:c r="F59" s="20"/>
      <x:c r="J59" s="20"/>
    </x:row>
    <x:row r="60">
      <x:c r="F60" s="20"/>
      <x:c r="J60" s="20"/>
    </x:row>
    <x:row r="61">
      <x:c r="F61" s="20"/>
      <x:c r="J61" s="20"/>
    </x:row>
    <x:row r="62">
      <x:c r="F62" s="20"/>
      <x:c r="J62" s="20"/>
    </x:row>
    <x:row r="63">
      <x:c r="F63" s="20"/>
      <x:c r="J63" s="20"/>
    </x:row>
    <x:row r="64">
      <x:c r="F64" s="20"/>
      <x:c r="J64" s="20"/>
    </x:row>
    <x:row r="65">
      <x:c r="F65" s="20"/>
      <x:c r="J65" s="20"/>
    </x:row>
    <x:row r="66">
      <x:c r="F66" s="20"/>
      <x:c r="J66" s="20"/>
    </x:row>
    <x:row r="67">
      <x:c r="F67" s="20"/>
      <x:c r="J67" s="20"/>
    </x:row>
    <x:row r="68">
      <x:c r="F68" s="20"/>
      <x:c r="J68" s="20"/>
    </x:row>
    <x:row r="69">
      <x:c r="F69" s="20"/>
      <x:c r="J69" s="20"/>
    </x:row>
    <x:row r="70">
      <x:c r="F70" s="20"/>
      <x:c r="J70" s="20"/>
    </x:row>
    <x:row r="71">
      <x:c r="F71" s="20"/>
      <x:c r="J71" s="20"/>
    </x:row>
    <x:row r="72">
      <x:c r="F72" s="20"/>
      <x:c r="J72" s="20"/>
    </x:row>
    <x:row r="73">
      <x:c r="F73" s="20"/>
      <x:c r="J73" s="20"/>
    </x:row>
    <x:row r="74">
      <x:c r="F74" s="20"/>
      <x:c r="J74" s="20"/>
    </x:row>
    <x:row r="75">
      <x:c r="F75" s="20"/>
      <x:c r="J75" s="20"/>
    </x:row>
    <x:row r="76">
      <x:c r="F76" s="20"/>
      <x:c r="J76" s="20"/>
    </x:row>
    <x:row r="77">
      <x:c r="F77" s="20"/>
      <x:c r="J77" s="20"/>
    </x:row>
    <x:row r="78">
      <x:c r="F78" s="20"/>
      <x:c r="J78" s="20"/>
    </x:row>
    <x:row r="79">
      <x:c r="F79" s="20"/>
      <x:c r="J79" s="20"/>
    </x:row>
    <x:row r="80">
      <x:c r="F80" s="20"/>
      <x:c r="J80" s="20"/>
    </x:row>
    <x:row r="81">
      <x:c r="F81" s="20"/>
      <x:c r="J81" s="20"/>
    </x:row>
    <x:row r="82">
      <x:c r="F82" s="20"/>
      <x:c r="J82" s="20"/>
    </x:row>
    <x:row r="83">
      <x:c r="F83" s="20"/>
      <x:c r="J83" s="20"/>
    </x:row>
    <x:row r="84">
      <x:c r="F84" s="20"/>
      <x:c r="J84" s="20"/>
    </x:row>
    <x:row r="85">
      <x:c r="F85" s="20"/>
      <x:c r="J85" s="20"/>
    </x:row>
    <x:row r="86">
      <x:c r="F86" s="20"/>
      <x:c r="J86" s="20"/>
    </x:row>
    <x:row r="87">
      <x:c r="F87" s="20"/>
      <x:c r="J87" s="20"/>
    </x:row>
    <x:row r="88">
      <x:c r="F88" s="20"/>
      <x:c r="J88" s="20"/>
    </x:row>
    <x:row r="89">
      <x:c r="F89" s="20"/>
      <x:c r="J89" s="20"/>
    </x:row>
    <x:row r="90">
      <x:c r="F90" s="20"/>
      <x:c r="J90" s="20"/>
    </x:row>
    <x:row r="91">
      <x:c r="F91" s="20"/>
      <x:c r="J91" s="20"/>
    </x:row>
    <x:row r="92">
      <x:c r="F92" s="20"/>
      <x:c r="J92" s="20"/>
    </x:row>
    <x:row r="93">
      <x:c r="F93" s="20"/>
      <x:c r="J93" s="20"/>
    </x:row>
    <x:row r="94">
      <x:c r="F94" s="20"/>
      <x:c r="J94" s="20"/>
    </x:row>
    <x:row r="95">
      <x:c r="F95" s="20"/>
      <x:c r="J95" s="20"/>
    </x:row>
    <x:row r="96">
      <x:c r="F96" s="20"/>
      <x:c r="J96" s="20"/>
    </x:row>
    <x:row r="97">
      <x:c r="F97" s="20"/>
      <x:c r="J97" s="20"/>
    </x:row>
    <x:row r="98">
      <x:c r="F98" s="20"/>
      <x:c r="J98" s="20"/>
    </x:row>
    <x:row r="99">
      <x:c r="F99" s="20"/>
      <x:c r="J99" s="20"/>
    </x:row>
    <x:row r="100">
      <x:c r="F100" s="20"/>
      <x:c r="J100" s="20"/>
    </x:row>
  </x:sheetData>
  <x:conditionalFormatting sqref="G2:G100">
    <x:cfRule type="expression" dxfId="12" priority="1">
      <x:formula>$G2="Blocked"</x:formula>
    </x:cfRule>
    <x:cfRule type="expression" dxfId="13" priority="2">
      <x:formula>$G2="Open"</x:formula>
    </x:cfRule>
    <x:cfRule type="expression" dxfId="14" priority="3">
      <x:formula>$G2="Closed"</x:formula>
    </x:cfRule>
  </x:conditionalFormatting>
  <x:dataValidations count="1">
    <x:dataValidation type="list" sqref="G2:G100">
      <x:formula1>"Open,In Progress,Blocked,Closed,Risk Accepted"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48" hidden="0" customWidth="1"/>
    <x:col min="4" max="4" width="14" hidden="0" customWidth="1"/>
    <x:col min="5" max="5" width="40" hidden="0" customWidth="1"/>
    <x:col min="6" max="6" width="55" hidden="0" customWidth="1"/>
    <x:col min="7" max="7" width="18" hidden="0" customWidth="1"/>
    <x:col min="8" max="8" width="14" hidden="0" customWidth="1"/>
    <x:col min="9" max="9" width="32" hidden="0" customWidth="1"/>
    <x:col min="18" max="18" width="22" hidden="0" customWidth="1"/>
  </x:cols>
  <x:sheetData>
    <x:row r="1">
      <x:c r="A1" s="12" t="str">
        <x:v>Event ID</x:v>
      </x:c>
      <x:c r="B1" s="12" t="str">
        <x:v>Vendor ID</x:v>
      </x:c>
      <x:c r="C1" s="12" t="str">
        <x:v>Monitoring Trigger</x:v>
      </x:c>
      <x:c r="D1" s="12" t="str">
        <x:v>Date Identified</x:v>
      </x:c>
      <x:c r="E1" s="12" t="str">
        <x:v>Potential Impact</x:v>
      </x:c>
      <x:c r="F1" s="12" t="str">
        <x:v>Analyst Action</x:v>
      </x:c>
      <x:c r="G1" s="12" t="str">
        <x:v>Reassessment Needed?</x:v>
      </x:c>
      <x:c r="H1" s="12" t="str">
        <x:v>Status</x:v>
      </x:c>
      <x:c r="I1" s="12" t="str">
        <x:v>Outcome</x:v>
      </x:c>
      <x:c r="R1" s="54" t="str">
        <x:v>FICTIONAL SAMPLE DATA</x:v>
      </x:c>
    </x:row>
    <x:row r="2">
      <x:c r="A2" s="18" t="str">
        <x:v>CM-001</x:v>
      </x:c>
      <x:c r="B2" s="18" t="str">
        <x:v>V-002</x:v>
      </x:c>
      <x:c r="C2" s="18" t="str">
        <x:v>Security rating drops materially after exposed-service finding</x:v>
      </x:c>
      <x:c r="D2" s="22" t="n">
        <x:v>46405</x:v>
      </x:c>
      <x:c r="E2" s="18" t="str">
        <x:v>Could indicate external attack-surface degradation</x:v>
      </x:c>
      <x:c r="F2" s="18" t="str">
        <x:v>Validate finding, contact vendor, determine materiality, open risk if confirmed</x:v>
      </x:c>
      <x:c r="G2" s="18" t="str">
        <x:v>Yes</x:v>
      </x:c>
      <x:c r="H2" s="18" t="str">
        <x:v>Simulated</x:v>
      </x:c>
      <x:c r="I2" s="18" t="str">
        <x:v>Pending investigation</x:v>
      </x:c>
    </x:row>
    <x:row r="3">
      <x:c r="A3" s="18" t="str">
        <x:v>CM-002</x:v>
      </x:c>
      <x:c r="B3" s="18" t="str">
        <x:v>V-001</x:v>
      </x:c>
      <x:c r="C3" s="18" t="str">
        <x:v>Vendor announces new payroll subprocessor</x:v>
      </x:c>
      <x:c r="D3" s="22" t="n">
        <x:v>46448</x:v>
      </x:c>
      <x:c r="E3" s="18" t="str">
        <x:v>New fourth party may process employee PII</x:v>
      </x:c>
      <x:c r="F3" s="18" t="str">
        <x:v>Review subprocessor location, security assurance, contract flow-down, and DPA terms</x:v>
      </x:c>
      <x:c r="G3" s="18" t="str">
        <x:v>Yes</x:v>
      </x:c>
      <x:c r="H3" s="18" t="str">
        <x:v>Simulated</x:v>
      </x:c>
      <x:c r="I3" s="18" t="str">
        <x:v>Conditional approval</x:v>
      </x:c>
    </x:row>
    <x:row r="4">
      <x:c r="A4" s="18" t="str">
        <x:v>CM-003</x:v>
      </x:c>
      <x:c r="B4" s="18" t="str">
        <x:v>V-002</x:v>
      </x:c>
      <x:c r="C4" s="18" t="str">
        <x:v>SOC 2 report reaches end of useful coverage window</x:v>
      </x:c>
      <x:c r="D4" s="22" t="n">
        <x:v>46478</x:v>
      </x:c>
      <x:c r="E4" s="18" t="str">
        <x:v>Reduced independent assurance</x:v>
      </x:c>
      <x:c r="F4" s="18" t="str">
        <x:v>Request new report or bridge letter; review material changes</x:v>
      </x:c>
      <x:c r="G4" s="18" t="str">
        <x:v>Yes</x:v>
      </x:c>
      <x:c r="H4" s="18" t="str">
        <x:v>Simulated</x:v>
      </x:c>
      <x:c r="I4" s="18" t="str">
        <x:v>Evidence requested</x:v>
      </x:c>
    </x:row>
    <x:row r="5">
      <x:c r="A5" s="18" t="str">
        <x:v>CM-004</x:v>
      </x:c>
      <x:c r="B5" s="18" t="str">
        <x:v>V-003</x:v>
      </x:c>
      <x:c r="C5" s="18" t="str">
        <x:v>Minor service outage reported</x:v>
      </x:c>
      <x:c r="D5" s="22" t="n">
        <x:v>46511</x:v>
      </x:c>
      <x:c r="E5" s="18" t="str">
        <x:v>Low business impact due to workaround</x:v>
      </x:c>
      <x:c r="F5" s="18" t="str">
        <x:v>Record event; monitor repeat incidents</x:v>
      </x:c>
      <x:c r="G5" s="18" t="str">
        <x:v>No</x:v>
      </x:c>
      <x:c r="H5" s="18" t="str">
        <x:v>Simulated</x:v>
      </x:c>
      <x:c r="I5" s="18" t="str">
        <x:v>No risk change</x:v>
      </x:c>
    </x:row>
    <x:row r="6">
      <x:c r="A6" s="18"/>
      <x:c r="B6" s="18"/>
      <x:c r="C6" s="18"/>
      <x:c r="D6" s="22"/>
      <x:c r="E6" s="18"/>
      <x:c r="F6" s="18"/>
      <x:c r="G6" s="18"/>
      <x:c r="H6" s="18"/>
      <x:c r="I6" s="18"/>
    </x:row>
    <x:row r="7">
      <x:c r="A7" s="18"/>
      <x:c r="B7" s="18"/>
      <x:c r="C7" s="18"/>
      <x:c r="D7" s="22"/>
      <x:c r="E7" s="18"/>
      <x:c r="F7" s="18"/>
      <x:c r="G7" s="18"/>
      <x:c r="H7" s="18"/>
      <x:c r="I7" s="18"/>
    </x:row>
    <x:row r="8">
      <x:c r="A8" s="18"/>
      <x:c r="B8" s="18"/>
      <x:c r="C8" s="18"/>
      <x:c r="D8" s="22"/>
      <x:c r="E8" s="18"/>
      <x:c r="F8" s="18"/>
      <x:c r="G8" s="18"/>
      <x:c r="H8" s="18"/>
      <x:c r="I8" s="18"/>
    </x:row>
    <x:row r="9">
      <x:c r="A9" s="18"/>
      <x:c r="B9" s="18"/>
      <x:c r="C9" s="18"/>
      <x:c r="D9" s="22"/>
      <x:c r="E9" s="18"/>
      <x:c r="F9" s="18"/>
      <x:c r="G9" s="18"/>
      <x:c r="H9" s="18"/>
      <x:c r="I9" s="18"/>
    </x:row>
    <x:row r="10">
      <x:c r="A10" s="18"/>
      <x:c r="B10" s="18"/>
      <x:c r="C10" s="18"/>
      <x:c r="D10" s="22"/>
      <x:c r="E10" s="18"/>
      <x:c r="F10" s="18"/>
      <x:c r="G10" s="18"/>
      <x:c r="H10" s="18"/>
      <x:c r="I10" s="18"/>
    </x:row>
    <x:row r="11">
      <x:c r="A11" s="18"/>
      <x:c r="B11" s="18"/>
      <x:c r="C11" s="18"/>
      <x:c r="D11" s="22"/>
      <x:c r="E11" s="18"/>
      <x:c r="F11" s="18"/>
      <x:c r="G11" s="18"/>
      <x:c r="H11" s="18"/>
      <x:c r="I11" s="18"/>
    </x:row>
    <x:row r="12">
      <x:c r="A12" s="18"/>
      <x:c r="B12" s="18"/>
      <x:c r="C12" s="18"/>
      <x:c r="D12" s="22"/>
      <x:c r="E12" s="18"/>
      <x:c r="F12" s="18"/>
      <x:c r="G12" s="18"/>
      <x:c r="H12" s="18"/>
      <x:c r="I12" s="18"/>
    </x:row>
    <x:row r="13">
      <x:c r="A13" s="18"/>
      <x:c r="B13" s="18"/>
      <x:c r="C13" s="18"/>
      <x:c r="D13" s="22"/>
      <x:c r="E13" s="18"/>
      <x:c r="F13" s="18"/>
      <x:c r="G13" s="18"/>
      <x:c r="H13" s="18"/>
      <x:c r="I13" s="18"/>
    </x:row>
    <x:row r="14">
      <x:c r="A14" s="18"/>
      <x:c r="B14" s="18"/>
      <x:c r="C14" s="18"/>
      <x:c r="D14" s="22"/>
      <x:c r="E14" s="18"/>
      <x:c r="F14" s="18"/>
      <x:c r="G14" s="18"/>
      <x:c r="H14" s="18"/>
      <x:c r="I14" s="18"/>
    </x:row>
    <x:row r="15">
      <x:c r="A15" s="18"/>
      <x:c r="B15" s="18"/>
      <x:c r="C15" s="18"/>
      <x:c r="D15" s="22"/>
      <x:c r="E15" s="18"/>
      <x:c r="F15" s="18"/>
      <x:c r="G15" s="18"/>
      <x:c r="H15" s="18"/>
      <x:c r="I15" s="18"/>
    </x:row>
    <x:row r="16">
      <x:c r="A16" s="18"/>
      <x:c r="B16" s="18"/>
      <x:c r="C16" s="18"/>
      <x:c r="D16" s="22"/>
      <x:c r="E16" s="18"/>
      <x:c r="F16" s="18"/>
      <x:c r="G16" s="18"/>
      <x:c r="H16" s="18"/>
      <x:c r="I16" s="18"/>
    </x:row>
    <x:row r="17">
      <x:c r="A17" s="18"/>
      <x:c r="B17" s="18"/>
      <x:c r="C17" s="18"/>
      <x:c r="D17" s="22"/>
      <x:c r="E17" s="18"/>
      <x:c r="F17" s="18"/>
      <x:c r="G17" s="18"/>
      <x:c r="H17" s="18"/>
      <x:c r="I17" s="18"/>
    </x:row>
    <x:row r="18">
      <x:c r="A18" s="18"/>
      <x:c r="B18" s="18"/>
      <x:c r="C18" s="18"/>
      <x:c r="D18" s="22"/>
      <x:c r="E18" s="18"/>
      <x:c r="F18" s="18"/>
      <x:c r="G18" s="18"/>
      <x:c r="H18" s="18"/>
      <x:c r="I18" s="18"/>
    </x:row>
    <x:row r="19">
      <x:c r="A19" s="18"/>
      <x:c r="B19" s="18"/>
      <x:c r="C19" s="18"/>
      <x:c r="D19" s="22"/>
      <x:c r="E19" s="18"/>
      <x:c r="F19" s="18"/>
      <x:c r="G19" s="18"/>
      <x:c r="H19" s="18"/>
      <x:c r="I19" s="18"/>
    </x:row>
    <x:row r="20">
      <x:c r="A20" s="18"/>
      <x:c r="B20" s="18"/>
      <x:c r="C20" s="18"/>
      <x:c r="D20" s="22"/>
      <x:c r="E20" s="18"/>
      <x:c r="F20" s="18"/>
      <x:c r="G20" s="18"/>
      <x:c r="H20" s="18"/>
      <x:c r="I20" s="18"/>
    </x:row>
    <x:row r="21">
      <x:c r="D21" s="20"/>
    </x:row>
    <x:row r="22">
      <x:c r="D22" s="20"/>
    </x:row>
    <x:row r="23">
      <x:c r="D23" s="20"/>
    </x:row>
    <x:row r="24">
      <x:c r="D24" s="20"/>
    </x:row>
    <x:row r="25">
      <x:c r="D25" s="20"/>
    </x:row>
    <x:row r="26">
      <x:c r="D26" s="20"/>
    </x:row>
    <x:row r="27">
      <x:c r="D27" s="20"/>
    </x:row>
    <x:row r="28">
      <x:c r="D28" s="20"/>
    </x:row>
    <x:row r="29">
      <x:c r="D29" s="20"/>
    </x:row>
    <x:row r="30">
      <x:c r="D30" s="20"/>
    </x:row>
    <x:row r="31">
      <x:c r="D31" s="20"/>
    </x:row>
    <x:row r="32">
      <x:c r="D32" s="20"/>
    </x:row>
    <x:row r="33">
      <x:c r="D33" s="20"/>
    </x:row>
    <x:row r="34">
      <x:c r="D34" s="20"/>
    </x:row>
    <x:row r="35">
      <x:c r="D35" s="20"/>
    </x:row>
    <x:row r="36">
      <x:c r="D36" s="20"/>
    </x:row>
    <x:row r="37">
      <x:c r="D37" s="20"/>
    </x:row>
    <x:row r="38">
      <x:c r="D38" s="20"/>
    </x:row>
    <x:row r="39">
      <x:c r="D39" s="20"/>
    </x:row>
    <x:row r="40">
      <x:c r="D40" s="20"/>
    </x:row>
    <x:row r="41">
      <x:c r="D41" s="20"/>
    </x:row>
    <x:row r="42">
      <x:c r="D42" s="20"/>
    </x:row>
    <x:row r="43">
      <x:c r="D43" s="20"/>
    </x:row>
    <x:row r="44">
      <x:c r="D44" s="20"/>
    </x:row>
    <x:row r="45">
      <x:c r="D45" s="20"/>
    </x:row>
    <x:row r="46">
      <x:c r="D46" s="20"/>
    </x:row>
    <x:row r="47">
      <x:c r="D47" s="20"/>
    </x:row>
    <x:row r="48">
      <x:c r="D48" s="20"/>
    </x:row>
    <x:row r="49">
      <x:c r="D49" s="20"/>
    </x:row>
    <x:row r="50">
      <x:c r="D50" s="20"/>
    </x:row>
    <x:row r="51">
      <x:c r="D51" s="20"/>
    </x:row>
    <x:row r="52">
      <x:c r="D52" s="20"/>
    </x:row>
    <x:row r="53">
      <x:c r="D53" s="20"/>
    </x:row>
    <x:row r="54">
      <x:c r="D54" s="20"/>
    </x:row>
    <x:row r="55">
      <x:c r="D55" s="20"/>
    </x:row>
    <x:row r="56">
      <x:c r="D56" s="20"/>
    </x:row>
    <x:row r="57">
      <x:c r="D57" s="20"/>
    </x:row>
    <x:row r="58">
      <x:c r="D58" s="20"/>
    </x:row>
    <x:row r="59">
      <x:c r="D59" s="20"/>
    </x:row>
    <x:row r="60">
      <x:c r="D60" s="20"/>
    </x:row>
    <x:row r="61">
      <x:c r="D61" s="20"/>
    </x:row>
    <x:row r="62">
      <x:c r="D62" s="20"/>
    </x:row>
    <x:row r="63">
      <x:c r="D63" s="20"/>
    </x:row>
    <x:row r="64">
      <x:c r="D64" s="20"/>
    </x:row>
    <x:row r="65">
      <x:c r="D65" s="20"/>
    </x:row>
    <x:row r="66">
      <x:c r="D66" s="20"/>
    </x:row>
    <x:row r="67">
      <x:c r="D67" s="20"/>
    </x:row>
    <x:row r="68">
      <x:c r="D68" s="20"/>
    </x:row>
    <x:row r="69">
      <x:c r="D69" s="20"/>
    </x:row>
    <x:row r="70">
      <x:c r="D70" s="20"/>
    </x:row>
    <x:row r="71">
      <x:c r="D71" s="20"/>
    </x:row>
    <x:row r="72">
      <x:c r="D72" s="20"/>
    </x:row>
    <x:row r="73">
      <x:c r="D73" s="20"/>
    </x:row>
    <x:row r="74">
      <x:c r="D74" s="20"/>
    </x:row>
    <x:row r="75">
      <x:c r="D75" s="20"/>
    </x:row>
    <x:row r="76">
      <x:c r="D76" s="20"/>
    </x:row>
    <x:row r="77">
      <x:c r="D77" s="20"/>
    </x:row>
    <x:row r="78">
      <x:c r="D78" s="20"/>
    </x:row>
    <x:row r="79">
      <x:c r="D79" s="20"/>
    </x:row>
    <x:row r="80">
      <x:c r="D80" s="20"/>
    </x:row>
    <x:row r="81">
      <x:c r="D81" s="20"/>
    </x:row>
    <x:row r="82">
      <x:c r="D82" s="20"/>
    </x:row>
    <x:row r="83">
      <x:c r="D83" s="20"/>
    </x:row>
    <x:row r="84">
      <x:c r="D84" s="20"/>
    </x:row>
    <x:row r="85">
      <x:c r="D85" s="20"/>
    </x:row>
    <x:row r="86">
      <x:c r="D86" s="20"/>
    </x:row>
    <x:row r="87">
      <x:c r="D87" s="20"/>
    </x:row>
    <x:row r="88">
      <x:c r="D88" s="20"/>
    </x:row>
    <x:row r="89">
      <x:c r="D89" s="20"/>
    </x:row>
    <x:row r="90">
      <x:c r="D90" s="20"/>
    </x:row>
    <x:row r="91">
      <x:c r="D91" s="20"/>
    </x:row>
    <x:row r="92">
      <x:c r="D92" s="20"/>
    </x:row>
    <x:row r="93">
      <x:c r="D93" s="20"/>
    </x:row>
    <x:row r="94">
      <x:c r="D94" s="20"/>
    </x:row>
    <x:row r="95">
      <x:c r="D95" s="20"/>
    </x:row>
    <x:row r="96">
      <x:c r="D96" s="20"/>
    </x:row>
    <x:row r="97">
      <x:c r="D97" s="20"/>
    </x:row>
    <x:row r="98">
      <x:c r="D98" s="20"/>
    </x:row>
    <x:row r="99">
      <x:c r="D99" s="20"/>
    </x:row>
    <x:row r="100">
      <x:c r="D100" s="20"/>
    </x:row>
  </x:sheetData>
  <x:dataValidations count="2">
    <x:dataValidation type="list" sqref="G2:G100">
      <x:formula1>"Yes,No"</x:formula1>
    </x:dataValidation>
    <x:dataValidation type="list" sqref="H2:H100">
      <x:formula1>"Open,In Review,Closed,Simulated"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42" hidden="0" customWidth="1"/>
    <x:col min="5" max="5" width="48" hidden="0" customWidth="1"/>
    <x:col min="18" max="18" width="22" hidden="0" customWidth="1"/>
  </x:cols>
  <x:sheetData>
    <x:row r="1">
      <x:c r="A1" s="4" t="str">
        <x:v>TPRM Executive Dashboard</x:v>
      </x:c>
      <x:c r="B1" s="4"/>
      <x:c r="C1" s="4"/>
      <x:c r="D1" s="4"/>
      <x:c r="E1" s="4"/>
      <x:c r="F1" s="4"/>
      <x:c r="G1" s="4"/>
      <x:c r="H1" s="4"/>
      <x:c r="R1" s="54" t="str">
        <x:v>FICTIONAL SAMPLE DATA</x:v>
      </x:c>
    </x:row>
    <x:row r="2">
      <x:c r="A2" s="4"/>
      <x:c r="B2" s="4"/>
      <x:c r="C2" s="4"/>
      <x:c r="D2" s="4"/>
      <x:c r="E2" s="4"/>
      <x:c r="F2" s="4"/>
      <x:c r="G2" s="4"/>
      <x:c r="H2" s="4"/>
    </x:row>
    <x:row r="3" ht="28" customHeight="1">
      <x:c r="A3" s="64" t="str">
        <x:v>Portfolio simulation using fictional vendor data; metrics are generated from the workbook's sample assessment records.</x:v>
      </x:c>
      <x:c r="B3" s="64"/>
      <x:c r="C3" s="64"/>
      <x:c r="D3" s="64"/>
      <x:c r="E3" s="64"/>
    </x:row>
    <x:row r="4">
      <x:c r="A4" s="12" t="str">
        <x:v>KPI</x:v>
      </x:c>
      <x:c r="B4" s="12" t="str">
        <x:v>Value</x:v>
      </x:c>
      <x:c r="D4" s="12" t="str">
        <x:v>Vendor Inherent Risk</x:v>
      </x:c>
      <x:c r="E4" s="12" t="str">
        <x:v>Count</x:v>
      </x:c>
    </x:row>
    <x:row r="5">
      <x:c r="A5" t="str">
        <x:v>Total Vendors</x:v>
      </x:c>
      <x:c r="B5" s="68" t="n">
        <x:f>COUNTA('Vendor Inventory'!A2:A100)</x:f>
        <x:v>3</x:v>
      </x:c>
      <x:c r="D5" t="str">
        <x:v>Critical</x:v>
      </x:c>
      <x:c r="E5" t="n">
        <x:f>COUNTIF('Vendor Inventory'!K2:K100,"Critical")</x:f>
        <x:v>1</x:v>
      </x:c>
    </x:row>
    <x:row r="6">
      <x:c r="A6" t="str">
        <x:v>Critical / High Vendors</x:v>
      </x:c>
      <x:c r="B6" s="68" t="n">
        <x:f>COUNTIF('Vendor Inventory'!K2:K100,"Critical")+COUNTIF('Vendor Inventory'!K2:K100,"High")</x:f>
        <x:v>2</x:v>
      </x:c>
      <x:c r="D6" t="str">
        <x:v>High</x:v>
      </x:c>
      <x:c r="E6" t="n">
        <x:f>COUNTIF('Vendor Inventory'!K2:K100,"High")</x:f>
        <x:v>1</x:v>
      </x:c>
    </x:row>
    <x:row r="7">
      <x:c r="A7" t="str">
        <x:v>Open Risks</x:v>
      </x:c>
      <x:c r="B7" s="68" t="n">
        <x:f>COUNTIF('Risk Register'!O2:O100,"Open")+COUNTIF('Risk Register'!O2:O100,"In Progress")</x:f>
        <x:v>9</x:v>
      </x:c>
      <x:c r="D7" t="str">
        <x:v>Medium</x:v>
      </x:c>
      <x:c r="E7" t="n">
        <x:f>COUNTIF('Vendor Inventory'!K2:K100,"Medium")</x:f>
        <x:v>1</x:v>
      </x:c>
    </x:row>
    <x:row r="8">
      <x:c r="A8" t="str">
        <x:v>Open High/Critical Residual Risks</x:v>
      </x:c>
      <x:c r="B8" s="68" t="n">
        <x:f>COUNTIFS('Risk Register'!K2:K100,"High",'Risk Register'!O2:O100,"&lt;&gt;Closed")+COUNTIFS('Risk Register'!K2:K100,"Critical",'Risk Register'!O2:O100,"&lt;&gt;Closed")</x:f>
        <x:v>4</x:v>
      </x:c>
      <x:c r="D8" t="str">
        <x:v>Low</x:v>
      </x:c>
      <x:c r="E8" t="n">
        <x:f>COUNTIF('Vendor Inventory'!K2:K100,"Low")</x:f>
        <x:v>0</x:v>
      </x:c>
    </x:row>
    <x:row r="9">
      <x:c r="A9" t="str">
        <x:v>Overdue Remediation Actions</x:v>
      </x:c>
      <x:c r="B9" s="68" t="n">
        <x:f>COUNTIFS('Remediation Tracker'!A2:A100,"&lt;&gt;",'Remediation Tracker'!F2:F100,"&lt;"&amp;TODAY(),'Remediation Tracker'!G2:G100,"&lt;&gt;Closed")</x:f>
        <x:v>0</x:v>
      </x:c>
    </x:row>
    <x:row r="10">
      <x:c r="A10" t="str">
        <x:v>Vendors with Conditional Approval</x:v>
      </x:c>
      <x:c r="B10" s="68" t="n">
        <x:f>COUNTIF('Vendor Inventory'!N2:N100,"Approve with Conditions")</x:f>
        <x:v>2</x:v>
      </x:c>
    </x:row>
    <x:row r="11">
      <x:c r="D11" s="12" t="str">
        <x:v>Residual Risk</x:v>
      </x:c>
      <x:c r="E11" s="12" t="str">
        <x:v>Open / Active</x:v>
      </x:c>
    </x:row>
    <x:row r="12">
      <x:c r="D12" t="str">
        <x:v>Critical</x:v>
      </x:c>
      <x:c r="E12" t="n">
        <x:f>COUNTIFS('Risk Register'!K2:K100,"Critical",'Risk Register'!O2:O100,"&lt;&gt;Closed")</x:f>
        <x:v>0</x:v>
      </x:c>
    </x:row>
    <x:row r="13">
      <x:c r="A13" s="38"/>
      <x:c r="B13" s="38"/>
      <x:c r="C13" s="38"/>
      <x:c r="D13" s="38" t="str">
        <x:v>High</x:v>
      </x:c>
      <x:c r="E13" s="38" t="n">
        <x:f>COUNTIFS('Risk Register'!K2:K100,"High",'Risk Register'!O2:O100,"&lt;&gt;Closed")</x:f>
        <x:v>4</x:v>
      </x:c>
    </x:row>
    <x:row r="14">
      <x:c r="A14" s="39"/>
      <x:c r="B14" s="39"/>
      <x:c r="C14" s="39"/>
      <x:c r="D14" s="39" t="str">
        <x:v>Medium</x:v>
      </x:c>
      <x:c r="E14" s="39" t="n">
        <x:f>COUNTIFS('Risk Register'!K2:K100,"Medium",'Risk Register'!O2:O100,"&lt;&gt;Closed")</x:f>
        <x:v>5</x:v>
      </x:c>
    </x:row>
    <x:row r="15">
      <x:c r="A15" s="39"/>
      <x:c r="B15" s="39"/>
      <x:c r="C15" s="39"/>
      <x:c r="D15" s="39" t="str">
        <x:v>Low</x:v>
      </x:c>
      <x:c r="E15" s="39" t="n">
        <x:f>COUNTIFS('Risk Register'!K2:K100,"Low",'Risk Register'!O2:O100,"&lt;&gt;Closed")</x:f>
        <x:v>1</x:v>
      </x:c>
    </x:row>
    <x:row r="16">
      <x:c r="A16" s="18"/>
      <x:c r="B16" s="18"/>
      <x:c r="C16" s="18"/>
      <x:c r="D16" s="18"/>
      <x:c r="E16" s="18"/>
    </x:row>
    <x:row r="17">
      <x:c r="A17" s="18"/>
      <x:c r="B17" s="18"/>
      <x:c r="C17" s="18"/>
      <x:c r="D17" s="18"/>
      <x:c r="E17" s="18"/>
    </x:row>
    <x:row r="18">
      <x:c r="A18" s="12" t="str">
        <x:v>Executive View</x:v>
      </x:c>
      <x:c r="B18" s="12" t="str">
        <x:v>Vendor</x:v>
      </x:c>
      <x:c r="C18" s="12" t="str">
        <x:v>Decision</x:v>
      </x:c>
      <x:c r="D18" s="12" t="str">
        <x:v>Top Concern</x:v>
      </x:c>
      <x:c r="E18" s="12" t="str">
        <x:v>Required Before / After Approval</x:v>
      </x:c>
    </x:row>
    <x:row r="19">
      <x:c r="A19" s="18" t="str">
        <x:v>Critical vendor</x:v>
      </x:c>
      <x:c r="B19" s="18" t="str">
        <x:v>MetricFlow</x:v>
      </x:c>
      <x:c r="C19" s="18" t="str">
        <x:v>Approve with Conditions</x:v>
      </x:c>
      <x:c r="D19" s="18" t="str">
        <x:v>DR recovery missed RTO; MFA and exception-governance gaps</x:v>
      </x:c>
      <x:c r="E19" s="18" t="str">
        <x:v>Contract notification SLA + time-bound remediation; monitor DR retest</x:v>
      </x:c>
    </x:row>
    <x:row r="20">
      <x:c r="A20" s="18" t="str">
        <x:v>High vendor</x:v>
      </x:c>
      <x:c r="B20" s="18" t="str">
        <x:v>PeopleSphere</x:v>
      </x:c>
      <x:c r="C20" s="18" t="str">
        <x:v>Approve with Conditions</x:v>
      </x:c>
      <x:c r="D20" s="18" t="str">
        <x:v>Backup deletion evidence for employee data</x:v>
      </x:c>
      <x:c r="E20" s="18" t="str">
        <x:v>Obtain deletion evidence and validate CUECs</x:v>
      </x:c>
    </x:row>
    <x:row r="21">
      <x:c r="A21" s="18" t="str">
        <x:v>Medium vendor</x:v>
      </x:c>
      <x:c r="B21" s="18" t="str">
        <x:v>CampaignPilot</x:v>
      </x:c>
      <x:c r="C21" s="18" t="str">
        <x:v>Approve</x:v>
      </x:c>
      <x:c r="D21" s="18" t="str">
        <x:v>Low business impact; limited recovery commitment</x:v>
      </x:c>
      <x:c r="E21" s="18" t="str">
        <x:v>Accept documented availability risk; reassess on cadence</x:v>
      </x:c>
    </x:row>
    <x:row r="22">
      <x:c r="A22" s="18" t="str"/>
      <x:c r="B22" s="18" t="str"/>
      <x:c r="C22" s="18" t="str"/>
      <x:c r="D22" s="18" t="str"/>
      <x:c r="E22" s="18" t="str"/>
    </x:row>
    <x:row r="23">
      <x:c r="A23" s="32" t="str">
        <x:v>Suggested interview summary</x:v>
      </x:c>
      <x:c r="B23" s="32" t="str"/>
      <x:c r="C23" s="32" t="str"/>
      <x:c r="D23" s="32" t="str"/>
      <x:c r="E23" s="32" t="str"/>
    </x:row>
    <x:row r="24">
      <x:c r="A24" s="18" t="str">
        <x:v>Recommendation</x:v>
      </x:c>
      <x:c r="B24" s="18" t="str"/>
      <x:c r="C24" s="18" t="str"/>
      <x:c r="D24" s="18" t="str"/>
      <x:c r="E24" s="18" t="str"/>
    </x:row>
    <x:row r="25" ht="70" customHeight="1">
      <x:c r="A25" s="46" t="str">
        <x:v>MetricFlow can proceed only with conditions because business value is high, but several control gaps remain. I would document residual risk, obtain Legal and business-owner approvals, require time-bound remediation for MFA, incident notification, and DR, and monitor those commitments after onboarding.</x:v>
      </x:c>
      <x:c r="B25" s="46" t="str"/>
      <x:c r="C25" s="46" t="str"/>
      <x:c r="D25" s="46" t="str"/>
      <x:c r="E25" s="46" t="str"/>
    </x:row>
  </x:sheetData>
  <x:mergeCells>
    <x:mergeCell ref="A1:H2"/>
    <x:mergeCell ref="A25:E25"/>
    <x:mergeCell ref="A3:E3"/>
  </x:mergeCells>
  <x:pageMargins left="0.7" right="0.7" top="0.75" bottom="0.75" header="0.3" footer="0.3"/>
  <x:drawing xmlns:r="http://schemas.openxmlformats.org/officeDocument/2006/relationships" r:id="R0eeb98e176a542a6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62" hidden="0" customWidth="1"/>
    <x:col min="4" max="4" width="48" hidden="0" customWidth="1"/>
  </x:cols>
  <x:sheetData>
    <x:row r="1">
      <x:c r="A1" s="50" t="str">
        <x:v>Sources, Assumptions &amp; Public-Use Notes</x:v>
      </x:c>
      <x:c r="B1" s="50"/>
      <x:c r="C1" s="50"/>
      <x:c r="D1" s="50"/>
    </x:row>
    <x:row r="2">
      <x:c r="A2" s="50"/>
      <x:c r="B2" s="50"/>
      <x:c r="C2" s="50"/>
      <x:c r="D2" s="50"/>
    </x:row>
    <x:row r="3" ht="40" customHeight="1">
      <x:c r="A3" s="54" t="str">
        <x:v>This workbook is a fictional portfolio simulation. It is not a completed SIG questionnaire, does not contain confidential audit reports, and should not be interpreted as an assessment of any real organization.</x:v>
      </x:c>
      <x:c r="B3" s="54"/>
      <x:c r="C3" s="54"/>
      <x:c r="D3" s="54"/>
    </x:row>
    <x:row r="5">
      <x:c r="A5" s="55" t="str">
        <x:v>Topic</x:v>
      </x:c>
      <x:c r="B5" s="55" t="str">
        <x:v>How it is used in this project</x:v>
      </x:c>
      <x:c r="C5" s="55" t="str">
        <x:v>Reference</x:v>
      </x:c>
      <x:c r="D5" s="55" t="str">
        <x:v>Public-use note</x:v>
      </x:c>
    </x:row>
    <x:row r="6">
      <x:c r="A6" s="18" t="str">
        <x:v>CAIQ / Cloud Controls</x:v>
      </x:c>
      <x:c r="B6" s="18" t="str">
        <x:v>The custom practice questionnaire uses cloud-security themes commonly associated with CAIQ/CCM domains.</x:v>
      </x:c>
      <x:c r="C6" s="18" t="str">
        <x:v>https://cloudsecurityalliance.org/research/cloud-controls-matrix</x:v>
      </x:c>
      <x:c r="D6" s="18" t="str">
        <x:v>Questions are original practice content; no CSA questionnaire text is reproduced.</x:v>
      </x:c>
    </x:row>
    <x:row r="7">
      <x:c r="A7" s="18" t="str">
        <x:v>Shared Assessments SIG</x:v>
      </x:c>
      <x:c r="B7" s="18" t="str">
        <x:v>The project demonstrates SIG-style vendor due-diligence concepts and domain coverage.</x:v>
      </x:c>
      <x:c r="C7" s="18" t="str">
        <x:v>https://sharedassessments.org/sig/</x:v>
      </x:c>
      <x:c r="D7" s="18" t="str">
        <x:v>No licensed SIG questionnaire content is included.</x:v>
      </x:c>
    </x:row>
    <x:row r="8">
      <x:c r="A8" s="18" t="str">
        <x:v>SOC 2</x:v>
      </x:c>
      <x:c r="B8" s="18" t="str">
        <x:v>The SOC2 Review sheet models common analyst review areas such as report period, opinion, scope, exceptions, CUECs, and subservice organizations.</x:v>
      </x:c>
      <x:c r="C8" s="18" t="str">
        <x:v>https://www.aicpa-cima.com/resources/landing/system-and-organization-controls-soc-suite-of-services</x:v>
      </x:c>
      <x:c r="D8" s="18" t="str">
        <x:v>The SOC 2 observations in this workbook are fictional.</x:v>
      </x:c>
    </x:row>
    <x:row r="9">
      <x:c r="A9" s="18" t="str">
        <x:v>ISO/IEC 27001</x:v>
      </x:c>
      <x:c r="B9" s="18" t="str">
        <x:v>ISO 27001 certification is treated as one possible assurance artifact during vendor due diligence.</x:v>
      </x:c>
      <x:c r="C9" s="18" t="str">
        <x:v>https://www.iso.org/standard/27001</x:v>
      </x:c>
      <x:c r="D9" s="18" t="str">
        <x:v>No real certificate or Statement of Applicability is included.</x:v>
      </x:c>
    </x:row>
    <x:row r="10">
      <x:c r="A10" s="18" t="str">
        <x:v>Risk Scoring</x:v>
      </x:c>
      <x:c r="B10" s="18" t="str">
        <x:v>The inherent and residual scoring model is a simplified portfolio model created for this workbook.</x:v>
      </x:c>
      <x:c r="C10" s="18" t="str">
        <x:v>Project methodology</x:v>
      </x:c>
      <x:c r="D10" s="18" t="str">
        <x:v>It is illustrative, not a claim that one scoring approach is universally applicable.</x:v>
      </x:c>
    </x:row>
    <x:row r="12">
      <x:c r="A12" s="55" t="str">
        <x:v>Assumption</x:v>
      </x:c>
      <x:c r="B12" s="55" t="str">
        <x:v>Project choice</x:v>
      </x:c>
      <x:c r="C12" s="55" t="str">
        <x:v>Why</x:v>
      </x:c>
      <x:c r="D12" s="55" t="str">
        <x:v>Limitation</x:v>
      </x:c>
    </x:row>
    <x:row r="13">
      <x:c r="A13" s="18" t="str">
        <x:v>Vendor population</x:v>
      </x:c>
      <x:c r="B13" s="18" t="str">
        <x:v>3 fictional SaaS vendors</x:v>
      </x:c>
      <x:c r="C13" s="18" t="str">
        <x:v>Shows risk-based due diligence across different inherent-risk levels</x:v>
      </x:c>
      <x:c r="D13" s="18" t="str">
        <x:v>Small sample; designed for demonstration, not statistical reporting</x:v>
      </x:c>
    </x:row>
    <x:row r="14">
      <x:c r="A14" s="18" t="str">
        <x:v>Risk scale</x:v>
      </x:c>
      <x:c r="B14" s="18" t="str">
        <x:v>Likelihood × Impact with control-effectiveness reduction</x:v>
      </x:c>
      <x:c r="C14" s="18" t="str">
        <x:v>Makes inherent-to-residual risk movement visible</x:v>
      </x:c>
      <x:c r="D14" s="18" t="str">
        <x:v>Real programs may use different scales, weighting, or qualitative methods</x:v>
      </x:c>
    </x:row>
    <x:row r="15">
      <x:c r="A15" s="18" t="str">
        <x:v>Assessment cadence</x:v>
      </x:c>
      <x:c r="B15" s="18" t="str">
        <x:v>6 / 12 / 24 / 36 months by tier</x:v>
      </x:c>
      <x:c r="C15" s="18" t="str">
        <x:v>Shows risk-based reassessment scheduling</x:v>
      </x:c>
      <x:c r="D15" s="18" t="str">
        <x:v>Actual cadence depends on company policy, regulation, material changes, and risk appetite</x:v>
      </x:c>
    </x:row>
    <x:row r="16">
      <x:c r="A16" s="18" t="str">
        <x:v>Evidence</x:v>
      </x:c>
      <x:c r="B16" s="18" t="str">
        <x:v>Mock analyst observations rather than attached source files</x:v>
      </x:c>
      <x:c r="C16" s="18" t="str">
        <x:v>Keeps the public workbook safe and compact</x:v>
      </x:c>
      <x:c r="D16" s="18" t="str">
        <x:v>A real assessment would retain source evidence in controlled repositories</x:v>
      </x:c>
    </x:row>
  </x:sheetData>
  <x:mergeCells>
    <x:mergeCell ref="A1:D2"/>
    <x:mergeCell ref="A3:D3"/>
  </x:mergeCells>
  <x:pageMargins left="0.7" right="0.7" top="0.75" bottom="0.75" header="0.3" footer="0.3"/>
</x:worksheet>
</file>